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ables Registry" sheetId="1" r:id="rId5"/>
    <sheet state="visible" name="Formal Change Log" sheetId="2" r:id="rId6"/>
    <sheet state="visible" name="56-Cell Empirical Matrices" sheetId="3" r:id="rId7"/>
    <sheet state="visible" name="Audits &amp; Directives Tracker" sheetId="4" r:id="rId8"/>
    <sheet state="visible" name="Strategic Roadmap" sheetId="5" r:id="rId9"/>
  </sheets>
  <definedNames/>
  <calcPr/>
</workbook>
</file>

<file path=xl/sharedStrings.xml><?xml version="1.0" encoding="utf-8"?>
<sst xmlns="http://schemas.openxmlformats.org/spreadsheetml/2006/main" count="711" uniqueCount="540">
  <si>
    <t>Value Physics Research Repository — Master Deliverables Registry</t>
  </si>
  <si>
    <t>Value Physics 56-Cell Empirical Calibration Matrices</t>
  </si>
  <si>
    <t>Value Physics Epistemic Audits &amp; Corrective Directives Tracker</t>
  </si>
  <si>
    <t>Value Physics Research Repository — Master Formal Change Log</t>
  </si>
  <si>
    <t>Alethekanon Research Institute | Division 2: Societal Economics &amp; Value Physics | Directory ID: 1ido8K-WwFst-DLzvOuyMB3uNKXPkPAyi</t>
  </si>
  <si>
    <t>Historical Progression, Formal Revisions, Adversarial Audits, and Milestone Completions</t>
  </si>
  <si>
    <t>Adversarial Review Log, Checker Feedback, Structural Directives, and Resolution Signoffs</t>
  </si>
  <si>
    <t>Empirical Calibration across Food (TS_0 Bread), Energy (1 kWh), Water (1 kL), Shelter, and Care</t>
  </si>
  <si>
    <t>Doc ID</t>
  </si>
  <si>
    <t>Log ID</t>
  </si>
  <si>
    <t>Audit ID</t>
  </si>
  <si>
    <t>Sector Standard</t>
  </si>
  <si>
    <t>Document Title</t>
  </si>
  <si>
    <t>Formal Category / Role</t>
  </si>
  <si>
    <t>Theoretical &amp; Empirical Scope</t>
  </si>
  <si>
    <t>Lifecycle Status</t>
  </si>
  <si>
    <t>NotebookLM Sync</t>
  </si>
  <si>
    <t>Google Drive Direct Link</t>
  </si>
  <si>
    <t>VPE-01</t>
  </si>
  <si>
    <t>Formal Paper 6: Value Physics &amp; The Universal Price Tensor</t>
  </si>
  <si>
    <t>Master Theoretical Treatise</t>
  </si>
  <si>
    <t>Spatiotemporal Scarcity S(x,t,c), 3-Layer Cost (Pe+Pb+Pm), P^7 Vector, Lorentz Coercion γ, 56-Cell Bread TS_0, Energy &amp; Water Matrices, Theorem 5 Debt Bifurcation</t>
  </si>
  <si>
    <t>Remediated &amp; Verified (Master Draft)</t>
  </si>
  <si>
    <t>Synchronized</t>
  </si>
  <si>
    <t>https://docs.google.com/document/d/1PYHxIgClDslPH-sOiNEL5nJtPMPAh9Mfm6yk5bt1Lc4/edit</t>
  </si>
  <si>
    <t>VPE-02</t>
  </si>
  <si>
    <t>Technical Whitepaper: The Tri-Fold Cryptographic Ledger</t>
  </si>
  <si>
    <t>Cryptographic Protocol Whitepaper</t>
  </si>
  <si>
    <t>Proof-of-Difficulty (PoD) consensus state machine, Book 1/2/3 accounting, 1,000-run Monte Carlo stochastic stress testing (100% solvency)</t>
  </si>
  <si>
    <t>Complete / Validated</t>
  </si>
  <si>
    <t>https://docs.google.com/document/d/1biBhmIb114Tdb1DkxrqCnxXwngSgnVAjl0ztmcFMBYo/edit</t>
  </si>
  <si>
    <t>UTC Timestamp</t>
  </si>
  <si>
    <t>Local AEST Time</t>
  </si>
  <si>
    <t>VPE-03</t>
  </si>
  <si>
    <t>Operation Category</t>
  </si>
  <si>
    <t>Econometric Paper: Stock-Flow Consistent Micro-Economy Modeling</t>
  </si>
  <si>
    <t>Econometric SFC Empirical Treatise</t>
  </si>
  <si>
    <t>Target Document / Artifact</t>
  </si>
  <si>
    <t>156-week dynamic SFC matrix for NSW broadacre farming calibrated against ABARES, ABS, RBA, ACCC, and AEMO datasets</t>
  </si>
  <si>
    <t>Complete / Empirical Master</t>
  </si>
  <si>
    <t>https://docs.google.com/document/d/1vMrZ-UfWr9uv3Uw_nO17yuh5XAbxiVweDIcsINFbMO8/edit</t>
  </si>
  <si>
    <t>VPE-04</t>
  </si>
  <si>
    <t>Research Report: Multi-Commodity Cohesive Village Simulation</t>
  </si>
  <si>
    <t>Dynamic Multi-Sector Simulation</t>
  </si>
  <si>
    <t>Target Document</t>
  </si>
  <si>
    <t>Meso-scale 600-citizen village simulation across 5 core sectors (Food, Energy, Water, Shelter, Care) under 3-year compound crises</t>
  </si>
  <si>
    <t>Complete / Modeled</t>
  </si>
  <si>
    <t>https://docs.google.com/document/d/1H3LS1DBxUY6crJl6S887MwwNcNmhg3-oWkmg3JKY0rU/edit</t>
  </si>
  <si>
    <t>VPE-05</t>
  </si>
  <si>
    <t>Auditor Role</t>
  </si>
  <si>
    <t>Role / Lead</t>
  </si>
  <si>
    <t>The Cardinal Value Matrix: WEST, EAST, BEST, WORST</t>
  </si>
  <si>
    <t>Stage #</t>
  </si>
  <si>
    <t>Scope of Changes &amp; Architectural Impact</t>
  </si>
  <si>
    <t>Foundational Conceptual Treatise</t>
  </si>
  <si>
    <t>Audit Date</t>
  </si>
  <si>
    <t>4-quadrant token geometry, Need/Want tensor dynamics (Px = αNx + βWx), and Reciprocal Closure Conservation Law</t>
  </si>
  <si>
    <t>Supply Chain Stage</t>
  </si>
  <si>
    <t>Foundational Treatise</t>
  </si>
  <si>
    <t>Identified Vulnerability / Discrepancy</t>
  </si>
  <si>
    <t>Primary Exergy (Pe)</t>
  </si>
  <si>
    <t>https://docs.google.com/document/d/1dgnWZVDQHgKs_35bncktB-L2hxp_hnNrszlO09zgx4c/edit</t>
  </si>
  <si>
    <t>Corrective Directive Issued</t>
  </si>
  <si>
    <t>Labor Difficulty (WEST)</t>
  </si>
  <si>
    <t>VPE-06</t>
  </si>
  <si>
    <t>Nominal Share ($AUD)</t>
  </si>
  <si>
    <t>The 7-Plane Token Spectrum Architecture</t>
  </si>
  <si>
    <t>Resolution Status</t>
  </si>
  <si>
    <t>Distortion (DQ)</t>
  </si>
  <si>
    <t>Foundational Currency Architecture</t>
  </si>
  <si>
    <t>Multi-spectral currency vector (T), planar action profiles, and elimination of Plane Misidentification Errors</t>
  </si>
  <si>
    <t>Official Benchmark Source</t>
  </si>
  <si>
    <t>Verification Evidence</t>
  </si>
  <si>
    <t>Calibration Status</t>
  </si>
  <si>
    <t>https://docs.google.com/document/d/1awluVDkDagymqiFV-WbYhehXp8kstoYIHbdcGf8V4Xo/edit</t>
  </si>
  <si>
    <t>VPE-07</t>
  </si>
  <si>
    <t>The Grand Translation to Modern Economic Theory</t>
  </si>
  <si>
    <t>Cross-Disciplinary Theoretical Suite</t>
  </si>
  <si>
    <t>LOG-VPE-001</t>
  </si>
  <si>
    <t>Mathematical bridges to Neoclassical, Classical Sraffian, Bioeconomic (Georgescu-Roegen), Post-Keynesian SFC, and Austrian schools</t>
  </si>
  <si>
    <t>AUD-VPE-001</t>
  </si>
  <si>
    <t>Bread (TS_0 - 700g Loaf)</t>
  </si>
  <si>
    <t>https://docs.google.com/document/d/1xqXYmXssgFAHKhSb-3oG2-AwOpNa4nrpnoBEMDi8ywA/edit</t>
  </si>
  <si>
    <t>VPE-08</t>
  </si>
  <si>
    <t>The Bread of Life: Isomorphic Information Treatise</t>
  </si>
  <si>
    <t>Isomorphic Process Treatise</t>
  </si>
  <si>
    <t>8-stage mapping connecting physical bread lifecycle to Information Theory, Actualism theology, and 7-plane invariant (TS_0)</t>
  </si>
  <si>
    <t>https://docs.google.com/document/d/1xCq6cmQFgz7NnmYpWwr0fTILNaAHbVQkqGhorsP6eow/edit</t>
  </si>
  <si>
    <t>VPE-09</t>
  </si>
  <si>
    <t>Achilles-Setup-Check: Relational Spacetime &amp; Coordinates</t>
  </si>
  <si>
    <t>Spacetime Foundations</t>
  </si>
  <si>
    <t>Zeno paradox resolution, continuous worldlines, self-normalised traversal coordinates, and temporal frame {[]}(])</t>
  </si>
  <si>
    <t>Foundational Theory</t>
  </si>
  <si>
    <t>https://docs.google.com/document/d/1fwgrHfZJqpy0X_lUEuDABnJgD6WEiL5v9FNx4SCqWEg/edit</t>
  </si>
  <si>
    <t>VPE-10</t>
  </si>
  <si>
    <t>Research Paper: The Economics and Value Physics of Bread</t>
  </si>
  <si>
    <t>Empirical Case Study</t>
  </si>
  <si>
    <t>Multi-tier price audit (Private Label to Artisan) and 5-channel monetary interest rate cost-push transmission modeling</t>
  </si>
  <si>
    <t>Complete / Empirical Research</t>
  </si>
  <si>
    <t>https://docs.google.com/document/d/1f4cQwN2Rba5cteU-iWsFCA8MMcOSWRa0IxDDk3x5kM4/edit</t>
  </si>
  <si>
    <t>VPE-11</t>
  </si>
  <si>
    <t>Research Treatise: Cohesive Village Simulation (7 Guilds)</t>
  </si>
  <si>
    <t>Meso-Scale Simulation Treatise</t>
  </si>
  <si>
    <t>Meso-scale 600-citizen village simulation across 7 production guilds, Book 1/2/3 Tri-Fold Ledger, and 104-week audit</t>
  </si>
  <si>
    <t>Complete / Treatise</t>
  </si>
  <si>
    <t>2026-08-18 02:41</t>
  </si>
  <si>
    <t>https://docs.google.com/document/d/1hm6KOBGml4Sry-kHgoHrrFwC2j542zzah--azRmkUJw/edit</t>
  </si>
  <si>
    <t>VPE-12</t>
  </si>
  <si>
    <t>On the Irreducibility &amp; Necessity of the 7 Interrogative Planes</t>
  </si>
  <si>
    <t>Foundational Preprint</t>
  </si>
  <si>
    <t>Zenodo preprint proving 42D simplex minimal volume (v_min = 43), TEF 126+n nodes, and P vs NP geodesic collapse</t>
  </si>
  <si>
    <t>Preprint / Foundational</t>
  </si>
  <si>
    <t>https://docs.google.com/document/d/1aJdkY0SAAldN38JT4av1Pw-_Vh3fts0SYkfWl3pqg6s/edit</t>
  </si>
  <si>
    <t>Formal Paper 6 (Section 2.3 &amp; 3.1)</t>
  </si>
  <si>
    <t>VPE-13</t>
  </si>
  <si>
    <t>Alethekanon Master Organizational Charter</t>
  </si>
  <si>
    <t>Institutional Governance</t>
  </si>
  <si>
    <t>Institute charter, Division 1 (IRM) and Division 2 (VPE) hierarchy, multi-agent triad profiles, and supervisory protocols</t>
  </si>
  <si>
    <t>Governance Charter</t>
  </si>
  <si>
    <t>https://docs.google.com/document/d/1kPFbMJ-1gpD-nh_I6d2hdOpvJ4u9q-VlX9NU2pSDSe0/edit</t>
  </si>
  <si>
    <t>VPE-14</t>
  </si>
  <si>
    <t>Executive Summary &amp; Research Index</t>
  </si>
  <si>
    <t>Overview &amp; Navigation</t>
  </si>
  <si>
    <t>High-level summary of empirical bread metrics, WEST tokens, and cross-document navigation</t>
  </si>
  <si>
    <t>Index / Overview</t>
  </si>
  <si>
    <t>https://docs.google.com/document/d/1_bek34ggppNV4aYNzjWNhc80eCmEpa0vcjSD98b_23s/edit</t>
  </si>
  <si>
    <t>VPE-15</t>
  </si>
  <si>
    <t>The Checker</t>
  </si>
  <si>
    <t>Value Physics Master Excel Ledger</t>
  </si>
  <si>
    <t>Single Canonical Spreadsheet</t>
  </si>
  <si>
    <t>2026-08-22</t>
  </si>
  <si>
    <t>Master repository registry, change log, 56-cell matrices, and epistemic audits</t>
  </si>
  <si>
    <t>Active Canonical Spreadsheet</t>
  </si>
  <si>
    <t>Critical algebraic inversion in Universal Price Equation: Reality Tensor was inverted as Rn(1-Ra)/(S*U).</t>
  </si>
  <si>
    <t>https://docs.google.com/spreadsheets/d/1_rUffeSE_BKVpHiOyicprWGXV-gC8GRZsK7POWSjb0Q/edit</t>
  </si>
  <si>
    <t>VPE-16</t>
  </si>
  <si>
    <t>Invert fraction to canonical form: (S*U)/[Rn(1-Ra)] across scalar and 7-plane forms.</t>
  </si>
  <si>
    <t>1</t>
  </si>
  <si>
    <t>Orthodox Linker Treatise</t>
  </si>
  <si>
    <t>Cross-Disciplinary Linker</t>
  </si>
  <si>
    <t>Literature mappings to Sraffian Standard Commodities, Godley-Lavoie SFC Macroeconomics, and Landauer Limits</t>
  </si>
  <si>
    <t>1. Plant (Seed &amp; Soil Agronomy)</t>
  </si>
  <si>
    <t>Formalized &amp; Published</t>
  </si>
  <si>
    <t>CLOSED</t>
  </si>
  <si>
    <t>https://docs.google.com/document/d/1-IE4Re1X0WKkWYzW65ZDL_dWW6q4Js4ubipfjcUbwG8/edit</t>
  </si>
  <si>
    <t>2026-08-18 12:41</t>
  </si>
  <si>
    <t>VPE-17</t>
  </si>
  <si>
    <t>Corrected in Formal Paper 6 Sections 2.3 and 3.1.</t>
  </si>
  <si>
    <t>PREF Companion Treatise: Value Physics &amp; Macro Resolution</t>
  </si>
  <si>
    <t>0.15 MJ</t>
  </si>
  <si>
    <t>Macroeconomic Operating System</t>
  </si>
  <si>
    <t>Authoring &amp; Proposal</t>
  </si>
  <si>
    <t>Synthesized macroeconomic operating architecture integrating UPE, Cardinal Tokens, Invariant Base Price (P_H), and Foundational Dividend</t>
  </si>
  <si>
    <t>AUD-VPE-002</t>
  </si>
  <si>
    <t>UPE Candidate Draft (WCe0)</t>
  </si>
  <si>
    <t>Complete / Framework</t>
  </si>
  <si>
    <t>Researcher</t>
  </si>
  <si>
    <t>Formal Paper 6 (Table 5.1)</t>
  </si>
  <si>
    <t>Drafted initial formalization of the Universal Price Equation and 7-Plane Price Vector.</t>
  </si>
  <si>
    <t>https://docs.google.com/document/d/1TH6sMQXLh8ZClsq1JuXMZbEjj5sDggOlXwe1AxPNlxI/edit</t>
  </si>
  <si>
    <t>LOG-VPE-002</t>
  </si>
  <si>
    <t>VPE-18</t>
  </si>
  <si>
    <t>2026-08-18 16:57</t>
  </si>
  <si>
    <t>0.42 W</t>
  </si>
  <si>
    <t>2026-08-19 02:57</t>
  </si>
  <si>
    <t>Empirical Research</t>
  </si>
  <si>
    <t>The Economics and Value Physics of Bread</t>
  </si>
  <si>
    <t>Audited Australian bread retail pricing across 4 tiers and modeled 5-channel interest rate cost-push dynamics.</t>
  </si>
  <si>
    <t>LOG-VPE-003</t>
  </si>
  <si>
    <t>$0.12 AUD</t>
  </si>
  <si>
    <t>2026-08-19 23:01</t>
  </si>
  <si>
    <t>2026-08-20 09:01</t>
  </si>
  <si>
    <t>0.27</t>
  </si>
  <si>
    <t>Simulation Modeling</t>
  </si>
  <si>
    <t>Micro-Economy ABM Bread Simulation</t>
  </si>
  <si>
    <t>ABARES Cropping Farm Survey (NSW)</t>
  </si>
  <si>
    <t>Arithmetic normalization error: nominal AUD costs summed to $5.00, but reported DQ used $7.50 total.</t>
  </si>
  <si>
    <t>Complete / Verified</t>
  </si>
  <si>
    <t>Built 100-timestep 8-stage agent-based simulation evaluating 300 bps rate hikes, 100% fuel spike, and 40% drought.</t>
  </si>
  <si>
    <t>LOG-VPE-004</t>
  </si>
  <si>
    <t>2026-08-20 03:42</t>
  </si>
  <si>
    <t>2026-08-20 13:42</t>
  </si>
  <si>
    <t>Recalibrate Table 5.1 DQ values to strictly match $5.00 total (DQ_Distrib = 10.66).</t>
  </si>
  <si>
    <t>Treatise Authoring</t>
  </si>
  <si>
    <t>Cohesive Village Simulation Treatise</t>
  </si>
  <si>
    <t>Formalized meso-scale 600-citizen village across 7 guilds, Book 1/2/3 Tri-Fold Ledger, and 104-week audit.</t>
  </si>
  <si>
    <t>2</t>
  </si>
  <si>
    <t>LOG-VPE-005</t>
  </si>
  <si>
    <t>2026-08-20 04:00</t>
  </si>
  <si>
    <t>2. Grain (Crop Photosynthesis &amp; N-Fixation)</t>
  </si>
  <si>
    <t>2026-08-20 14:00</t>
  </si>
  <si>
    <t>4.95 MJ</t>
  </si>
  <si>
    <t>Foundational Formalism</t>
  </si>
  <si>
    <t>The Cardinal Value Matrix</t>
  </si>
  <si>
    <t>Mapped WEST, EAST, BEST, WORST 4-quadrant geometry, Need/Want dynamics (Px = αNx + βWx), and Reciprocal Closure.</t>
  </si>
  <si>
    <t>LOG-VPE-006</t>
  </si>
  <si>
    <t>2026-08-20 04:35</t>
  </si>
  <si>
    <t>Statutory Model Charter &amp; Sovereign Credit Union Bylaws</t>
  </si>
  <si>
    <t>2026-08-20 14:35</t>
  </si>
  <si>
    <t>Theoretical Integration</t>
  </si>
  <si>
    <t>The Grand Translation Treatise</t>
  </si>
  <si>
    <t>Institutional Legal Framework</t>
  </si>
  <si>
    <t>0.65 W</t>
  </si>
  <si>
    <t>Derived exact translation equations bridging Value Physics to Neoclassical, Sraffian, Bioeconomic, and SFC paradigms.</t>
  </si>
  <si>
    <t>Model legal bylaws for regional credit unions implementing Theorem 5 (0% usury) and Book 1/2/3 Tri-Fold Ledger (ARI-VPE-STAT-2026-01)</t>
  </si>
  <si>
    <t>$0.18 AUD</t>
  </si>
  <si>
    <t>LOG-VPE-007</t>
  </si>
  <si>
    <t>2026-08-20 16:29</t>
  </si>
  <si>
    <t>0.26</t>
  </si>
  <si>
    <t>2026-08-21 02:29</t>
  </si>
  <si>
    <t>Currency Formalization</t>
  </si>
  <si>
    <t>NSW DPI Farm Gross Margin Budgets</t>
  </si>
  <si>
    <t>7-Plane Token Spectrum Architecture</t>
  </si>
  <si>
    <t>Complete / Model Bylaws</t>
  </si>
  <si>
    <t>Constructed multi-spectral currency vector (T), planar action profiles, and eliminated Plane Misidentification Errors.</t>
  </si>
  <si>
    <t>LOG-VPE-008</t>
  </si>
  <si>
    <t>https://docs.google.com/document/d/1ADVAgqsAh9HjAMeVfLUN3sdqvGd8rUuYrGOc9OjYCc4/edit</t>
  </si>
  <si>
    <t>2026-08-20 16:54</t>
  </si>
  <si>
    <t>2026-08-21 02:54</t>
  </si>
  <si>
    <t>3</t>
  </si>
  <si>
    <t>Isomorphic Treatise</t>
  </si>
  <si>
    <t>VPE-19</t>
  </si>
  <si>
    <t>The Bread of Life Treatise</t>
  </si>
  <si>
    <t>3. Harvest (Machinery Diesel &amp; Threshing)</t>
  </si>
  <si>
    <t>Executive Policy Brief: Agricultural Debt &amp; Supermarket Margins</t>
  </si>
  <si>
    <t>2.20 MJ</t>
  </si>
  <si>
    <t>Sovereign Policy Brief</t>
  </si>
  <si>
    <t>0.88 W</t>
  </si>
  <si>
    <t>Formal submission for Parliamentary/ACCC inquiries modeling rate hike cost-push inflation and duopoly caps (ARI-VPE-POL-2026-01)</t>
  </si>
  <si>
    <t>Mapped 8-stage bread production to Information Theory, Actualism theology, and Value Physics TS_0 reference invariant.</t>
  </si>
  <si>
    <t>Complete / Policy Brief</t>
  </si>
  <si>
    <t>$0.25 AUD</t>
  </si>
  <si>
    <t>LOG-VPE-009</t>
  </si>
  <si>
    <t>https://docs.google.com/document/d/15QH8ylkKQBi1PdRC5MgvMjg7L_Nt5pXiPg3ZTGxB87c/edit</t>
  </si>
  <si>
    <t>VPE-20</t>
  </si>
  <si>
    <t>ABARES Commodity Reports</t>
  </si>
  <si>
    <t>Value Physics Explained: A Plain-English Beginner's Guide</t>
  </si>
  <si>
    <t>Master PM Logging</t>
  </si>
  <si>
    <t>Educational &amp; Public Resource</t>
  </si>
  <si>
    <t>Recalibrated Table 5.1 in Formal Paper 6; DQ sum and proportions verified.</t>
  </si>
  <si>
    <t>Accessible translation of UPE, 3-layer cost decomposition, WEST tokens, Distortion Quotient DQ, and Cohesive Village model</t>
  </si>
  <si>
    <t>Value Physics Master PM Log</t>
  </si>
  <si>
    <t>Complete / Educational Guide</t>
  </si>
  <si>
    <t>Project Manager</t>
  </si>
  <si>
    <t>Initialized master deliverables registry, gap analysis, and open research vectors.</t>
  </si>
  <si>
    <t>https://docs.google.com/document/d/1yf97wHNNe4HMiA8-GM_tc_Ke3I3GX_hb7H5sB5yKsmI/edit</t>
  </si>
  <si>
    <t>LOG-VPE-010</t>
  </si>
  <si>
    <t>4</t>
  </si>
  <si>
    <t>2026-08-20 23:35</t>
  </si>
  <si>
    <t>2026-08-21 09:35</t>
  </si>
  <si>
    <t>4. Mill (Pneumatic Roller Crushing)</t>
  </si>
  <si>
    <t>Simulation Expansion</t>
  </si>
  <si>
    <t>Multi-Commodity Village Simulation</t>
  </si>
  <si>
    <t>0.48 MJ</t>
  </si>
  <si>
    <t>0.54 W</t>
  </si>
  <si>
    <t>VPE-21</t>
  </si>
  <si>
    <t>Extended village model into 5 closed-loop sectors (Food, Energy, Water, Shelter, Care) across 156 weekly timesteps.</t>
  </si>
  <si>
    <t>AUD-VPE-003</t>
  </si>
  <si>
    <t>$0.35 AUD</t>
  </si>
  <si>
    <t>LOG-VPE-011</t>
  </si>
  <si>
    <t>0.61</t>
  </si>
  <si>
    <t>2026-08-21 05:12</t>
  </si>
  <si>
    <t>Australian Milling Industry Data</t>
  </si>
  <si>
    <t>2026-08-21 15:12</t>
  </si>
  <si>
    <t>Formal Paper 6 (Section 3.2)</t>
  </si>
  <si>
    <t>Econometric Calibration</t>
  </si>
  <si>
    <t>Stock-Flow Consistent (SFC) Model</t>
  </si>
  <si>
    <t>5</t>
  </si>
  <si>
    <t>5. Leaven (Hydration &amp; Starter Fermentation)</t>
  </si>
  <si>
    <t>Calibrated 156-week dynamic SFC agricultural model against ABARES, ABS, RBA, ACCC, and AEMO datasets.</t>
  </si>
  <si>
    <t>0.30 MJ</t>
  </si>
  <si>
    <t>0.72 W</t>
  </si>
  <si>
    <t>LOG-VPE-012</t>
  </si>
  <si>
    <t>$0.45 AUD</t>
  </si>
  <si>
    <t>2026-08-21 23:52</t>
  </si>
  <si>
    <t>Zero-division singularity in relative urgency velocity when UA = UB = 0.</t>
  </si>
  <si>
    <t>0.59</t>
  </si>
  <si>
    <t>2026-08-22 09:52</t>
  </si>
  <si>
    <t>Baking Industry Association of Australia</t>
  </si>
  <si>
    <t>Protocol Specification</t>
  </si>
  <si>
    <t>Tri-Fold Cryptographic Ledger Whitepaper</t>
  </si>
  <si>
    <t>Regularize v_rel with Cost of Being boundary floor: v_rel = |UA - UB| / [max(UA, UB) + 1∞_U].</t>
  </si>
  <si>
    <t>Authored mathematical specification of Proof-of-Difficulty (PoD) consensus and 1,000-run Monte Carlo stress testing.</t>
  </si>
  <si>
    <t>6</t>
  </si>
  <si>
    <t>LOG-VPE-013</t>
  </si>
  <si>
    <t>6. Oven (Deck Thermal Exergy Fixation)</t>
  </si>
  <si>
    <t>2026-08-22 08:41</t>
  </si>
  <si>
    <t>Regularized in Section 3.2 of Formal Paper 6.</t>
  </si>
  <si>
    <t>2026-08-22 18:41</t>
  </si>
  <si>
    <t>2.85 MJ</t>
  </si>
  <si>
    <t>Master Consolidation</t>
  </si>
  <si>
    <t>0.95 W</t>
  </si>
  <si>
    <t>Formal Paper 6: Value Physics &amp; Universal Price Tensor</t>
  </si>
  <si>
    <t>$0.65 AUD</t>
  </si>
  <si>
    <t>AUD-VPE-004</t>
  </si>
  <si>
    <t>0.64</t>
  </si>
  <si>
    <t>Consolidated UPE additions, Bread economics, and Grand Translation into unified master treatise.</t>
  </si>
  <si>
    <t>AEMO Commercial Gas/Electricity Tariffs</t>
  </si>
  <si>
    <t>Formal Paper 6 (Section 3.3)</t>
  </si>
  <si>
    <t>LOG-VPE-014</t>
  </si>
  <si>
    <t>2026-08-22 19:07</t>
  </si>
  <si>
    <t>2026-08-23 05:07</t>
  </si>
  <si>
    <t>7</t>
  </si>
  <si>
    <t>Epistemic Adversarial Audit</t>
  </si>
  <si>
    <t>7. Breaking (Packaging &amp; Lyrical Distribution)</t>
  </si>
  <si>
    <t>Formal Paper 6 Epistemic Audit</t>
  </si>
  <si>
    <t>Domain ambiguity in directional value gradient operator V = -∇P.</t>
  </si>
  <si>
    <t>0.20 MJ</t>
  </si>
  <si>
    <t>Checker</t>
  </si>
  <si>
    <t>0.31 W</t>
  </si>
  <si>
    <t>Audited Formal Paper 6; flagged formula inversion in Reality Tensor and Table 5.1 normalization error. Issued 5 directives.</t>
  </si>
  <si>
    <t>$0.50 AUD</t>
  </si>
  <si>
    <t>Define ∇_M7 as the exterior derivative on the Riemannian 7-Plane Price bundle M^7.</t>
  </si>
  <si>
    <t>LOG-VPE-015</t>
  </si>
  <si>
    <t>1.51</t>
  </si>
  <si>
    <t>2026-08-22 22:16</t>
  </si>
  <si>
    <t>National Logistics &amp; Packaging Benchmarks</t>
  </si>
  <si>
    <t>2026-08-23 08:16</t>
  </si>
  <si>
    <t>The Physics of Economic Value: Academic Journal Manuscript</t>
  </si>
  <si>
    <t>Revision &amp; Remediation</t>
  </si>
  <si>
    <t>Unified Academic Treatise</t>
  </si>
  <si>
    <t>Exterior derivative formalized in Section 3.3.</t>
  </si>
  <si>
    <t>Formal Paper 6 Remediation</t>
  </si>
  <si>
    <t>Peer-reviewed journal manuscript for Ecological Economics and JEDC integrating UPE, 5-sector Leontief tensor, SFC model, and Theorem 5 (ARI-VPE-JRNL-2026-01)</t>
  </si>
  <si>
    <t>8</t>
  </si>
  <si>
    <t>Complete / Journal Submission</t>
  </si>
  <si>
    <t>Remediated Reality Tensor formula, recalibrated Table 5.1 DQ values ($5.00 total), added 1∞_U regularization, and defined ∇_M7.</t>
  </si>
  <si>
    <t>AUD-VPE-005</t>
  </si>
  <si>
    <t>8. Distribution (Supermarket Slotting &amp; Retail)</t>
  </si>
  <si>
    <t>https://docs.google.com/document/d/1Fspsc-AjkvWMmfycQ5P19Jktt14k8hI7OrpDOR1CfmY/edit</t>
  </si>
  <si>
    <t>LOG-VPE-016</t>
  </si>
  <si>
    <t>2.40 MJ</t>
  </si>
  <si>
    <t>2026-08-22 22:48</t>
  </si>
  <si>
    <t>Formal Paper 6 (Section 6.2)</t>
  </si>
  <si>
    <t>2026-08-23 08:48</t>
  </si>
  <si>
    <t>VPE-22</t>
  </si>
  <si>
    <t>0.22 W</t>
  </si>
  <si>
    <t>Multi-Sector Extension</t>
  </si>
  <si>
    <t>$2.50 AUD</t>
  </si>
  <si>
    <t>Multi-Village Regional Network Simulation Treatise</t>
  </si>
  <si>
    <t>Formal Paper 6 Energy &amp; Water Additions</t>
  </si>
  <si>
    <t>Regional Network Protocol</t>
  </si>
  <si>
    <t>10.66</t>
  </si>
  <si>
    <t>156-week 10-node dynamic network cluster simulation (ARI-VPE-SIM-2026-02) across NSW shires modeling decentralized mutual credit, asymmetric drought resilience, and Inter-Sovereign Trade Tensor clearing</t>
  </si>
  <si>
    <t>Placeholder metadata in verification block at end of document.</t>
  </si>
  <si>
    <t>Complete / Simulation Treatise</t>
  </si>
  <si>
    <t>ACCC Supermarket Inquiry Final Report</t>
  </si>
  <si>
    <t>Integrated 56-cell reference calibration matrices for Microgrid Energy (1 kWh) and Potable Water (1 kL), plus Section 6.2 Debt Bifurcation.</t>
  </si>
  <si>
    <t>Populate formal author, auditor, institution, date, and location metadata.</t>
  </si>
  <si>
    <t>https://docs.google.com/document/d/15ozakw1icWoyH6Lpy8DCUjF8rXhQLfUPFGGfaJT9Y-g/edit</t>
  </si>
  <si>
    <t>Electricity (1 kWh Microgrid)</t>
  </si>
  <si>
    <t>VPE-23</t>
  </si>
  <si>
    <t>Project Management Master Log</t>
  </si>
  <si>
    <t>1. Generation (Solar PV / Hydro Photon Capture)</t>
  </si>
  <si>
    <t>Metadata block fully populated in Formal Paper 6.</t>
  </si>
  <si>
    <t>Master PM Document</t>
  </si>
  <si>
    <t>3.60 MJ</t>
  </si>
  <si>
    <t>Master repository registry, change log, consolidation audit, and active roadmap tracking</t>
  </si>
  <si>
    <t>0.08 W</t>
  </si>
  <si>
    <t>AUD-VPE-006</t>
  </si>
  <si>
    <t>Active Master PM Document</t>
  </si>
  <si>
    <t>LOG-VPE-017</t>
  </si>
  <si>
    <t>$0.025 AUD</t>
  </si>
  <si>
    <t>2026-08-23 03:34</t>
  </si>
  <si>
    <t>SFC Econometric Paper</t>
  </si>
  <si>
    <t>0.48</t>
  </si>
  <si>
    <t>2026-08-23 13:34</t>
  </si>
  <si>
    <t>https://docs.google.com/document/d/1KIO1zj-3c-Q_xOPBP_U3KQr3MhFqHG4pxUrqJHGv_RQ/edit</t>
  </si>
  <si>
    <t>Literature Grounding</t>
  </si>
  <si>
    <t>AEMO Quarterly Energy Dynamics (QED)</t>
  </si>
  <si>
    <t>2026-08-23</t>
  </si>
  <si>
    <t>Drafted / In Verification</t>
  </si>
  <si>
    <t>Mapped Value Physics to Sraffian Standard Commodities, Godley-Lavoie SFC Macroeconomics, and Landauer Limits.</t>
  </si>
  <si>
    <t>Verify 5-year balance sheet stock-flow closure under extreme stochastic interest rates.</t>
  </si>
  <si>
    <t>LOG-VPE-018</t>
  </si>
  <si>
    <t>2026-08-23 09:12</t>
  </si>
  <si>
    <t>2026-08-23 19:12</t>
  </si>
  <si>
    <t>Macro Synthesis</t>
  </si>
  <si>
    <t>PREF Companion Treatise</t>
  </si>
  <si>
    <t>2. Inversion (DC-to-AC Inverter Electronics)</t>
  </si>
  <si>
    <t>Embedded Value Physics (UPE, WEST, P_H, DQ) into the complete Paradise Reciprocity Economic Framework v5.0.</t>
  </si>
  <si>
    <t>LOG-VPE-019</t>
  </si>
  <si>
    <t>0.04 W</t>
  </si>
  <si>
    <t>Execute extended 260-week stress simulation to guarantee zero financial leakages. [156/156 PASS (0 accounting leakages)]</t>
  </si>
  <si>
    <t>2026-08-23 17:41</t>
  </si>
  <si>
    <t>2026-08-24 03:41</t>
  </si>
  <si>
    <t>Knowledge Base Sync</t>
  </si>
  <si>
    <t>NotebookLM Sync (3623093f-ad75-41d5-b6e4-5be25ffd8430)</t>
  </si>
  <si>
    <t>$0.015 AUD</t>
  </si>
  <si>
    <t>0.58</t>
  </si>
  <si>
    <t>Clean Energy Council Guidelines</t>
  </si>
  <si>
    <t>Synchronized 15 completed master papers into NotebookLM knowledge base with zero duplicate entries.</t>
  </si>
  <si>
    <t>LOG-VPE-020</t>
  </si>
  <si>
    <t>2026-08-24 05:05</t>
  </si>
  <si>
    <t>3. Storage (LiFePO4 / Pumped Hydro Cycle)</t>
  </si>
  <si>
    <t>2026-08-24 15:05</t>
  </si>
  <si>
    <t>0.45 MJ</t>
  </si>
  <si>
    <t>Ledger &amp; PM Maintenance</t>
  </si>
  <si>
    <t>0.06 W</t>
  </si>
  <si>
    <t>Value Physics Master Excel Ledger &amp; PM Document</t>
  </si>
  <si>
    <t>$0.030 AUD</t>
  </si>
  <si>
    <t>0.77</t>
  </si>
  <si>
    <t>Established dedicated master Excel ledger and updated Google Doc PM Master Log with multi-sector roadmap.</t>
  </si>
  <si>
    <t>ARENA Storage Cost Benchmark Reports</t>
  </si>
  <si>
    <t>LOG-VPE-021</t>
  </si>
  <si>
    <t>2026-08-24 21:44</t>
  </si>
  <si>
    <t>2026-08-25 07:44</t>
  </si>
  <si>
    <t>Authoring &amp; Governance</t>
  </si>
  <si>
    <t>Statutory Model Charter &amp; Sovereign Credit Union Bylaws (1ADV)</t>
  </si>
  <si>
    <t>Godley-Lavoie transaction matrix verified; extended run in progress.</t>
  </si>
  <si>
    <t>Authored complete statutory charter (ARI-VPE-STAT-2026-01) operationalizing Theorem 5 (0% usury) and Tri-Fold Ledger for regional shires.</t>
  </si>
  <si>
    <t>4. Distribution (Local LV Microgrid Line Delivery)</t>
  </si>
  <si>
    <t>LOG-VPE-022</t>
  </si>
  <si>
    <t>0.10 MJ</t>
  </si>
  <si>
    <t>0.02 W</t>
  </si>
  <si>
    <t>$0.010 AUD</t>
  </si>
  <si>
    <t>Authoring &amp; Policy</t>
  </si>
  <si>
    <t>AUD-VPE-007</t>
  </si>
  <si>
    <t>AER Network Distribution Determinations</t>
  </si>
  <si>
    <t>Executive Policy Brief: Agricultural Debt &amp; Supermarket Margins (15QH)</t>
  </si>
  <si>
    <t>Tri-Fold Ledger Whitepaper</t>
  </si>
  <si>
    <t>Water (1 kL Potable Catchment)</t>
  </si>
  <si>
    <t>Authored formal submission (ARI-VPE-POL-2026-01) for Parliamentary/ACCC inquiries modeling rate hike cost-push inflation and duopoly caps.</t>
  </si>
  <si>
    <t>1. Capture (Gravity Surface Catchment / Basin)</t>
  </si>
  <si>
    <t>0.05 MJ</t>
  </si>
  <si>
    <t>0.05 W</t>
  </si>
  <si>
    <t>$0.080 AUD</t>
  </si>
  <si>
    <t>Audit smart contract covenants to ensure r_compound == 0.0% invariant under inflation.</t>
  </si>
  <si>
    <t>0.62</t>
  </si>
  <si>
    <t>LOG-VPE-024</t>
  </si>
  <si>
    <t>NSW Water Utility Cost Benchmarks</t>
  </si>
  <si>
    <t>Stress-test Book 1 linear amortization rules under simulated 15% fiat inflation. [1,000/1,000 PASS (0 defaults, 100% solvency)]</t>
  </si>
  <si>
    <t>Smart covenant bytecode verified; edge-case liquidity testing scheduled.</t>
  </si>
  <si>
    <t>AUD-VPE-008</t>
  </si>
  <si>
    <t>2. Treatment (Slow Sand &amp; Biological Filtration)</t>
  </si>
  <si>
    <t>Policy Brief &amp; Model Bylaws (15QH / 1ADV)</t>
  </si>
  <si>
    <t>0.12 MJ</t>
  </si>
  <si>
    <t>Epistemic Auditor</t>
  </si>
  <si>
    <t>$0.120 AUD</t>
  </si>
  <si>
    <t>2026-08-25</t>
  </si>
  <si>
    <t>Verify alignment of Model Credit Union Bylaws with Australian Corporations Act 2001 (Mutuals).</t>
  </si>
  <si>
    <t>Water Services Association of Australia</t>
  </si>
  <si>
    <t>Audit Clause 1 and 2 against APRA prudential standards and Theorem 5 linear amortization schedules.</t>
  </si>
  <si>
    <t>Cross-verified against Corporations Act 2001 Part 5C and RIC Act 2018.</t>
  </si>
  <si>
    <t>NSW DPI Irrigation Energy Audits</t>
  </si>
  <si>
    <t>AUD-VPE-010</t>
  </si>
  <si>
    <t>Integrated Leontief Embodied Difficulty (WEST)</t>
  </si>
  <si>
    <t>Multi-Village Simulation (ARI-VPE-SIM-2026-02)</t>
  </si>
  <si>
    <t>Engineer</t>
  </si>
  <si>
    <t>Regional Local Water Utility Audits</t>
  </si>
  <si>
    <t>Food (Bread TS_0)</t>
  </si>
  <si>
    <t>Integrated (I - A)^-1</t>
  </si>
  <si>
    <t>0.5650 W</t>
  </si>
  <si>
    <t>Master Builders Australia / CSIRO Housing</t>
  </si>
  <si>
    <t>Scheduled (Phase 4 Sprint)</t>
  </si>
  <si>
    <t>Energy (1 kWh)</t>
  </si>
  <si>
    <t>0.1092 W</t>
  </si>
  <si>
    <t>AIHW National Health &amp; Care Metrics</t>
  </si>
  <si>
    <t>Water (1 kL)</t>
  </si>
  <si>
    <t>Journal Authoring</t>
  </si>
  <si>
    <t>Academic Journal Paper ARI-VPE-JRNL-2026-01 (1Fspsc) - Authored unified peer-review manuscript for Ecological Economics / JEDC integrating UPE, 56-cell matrices, SFC empirical proofs, and Theorem 5.</t>
  </si>
  <si>
    <t>Authored intuitive public-facing primer translating UPE, 3-layer cost cake, WEST tokens, Distortion Quotient, and Cohesive Village.</t>
  </si>
  <si>
    <t>LOG-VPE-025</t>
  </si>
  <si>
    <t>Simulation Scaling</t>
  </si>
  <si>
    <t>Multi-Village Regional Network Simulation (ARI-VPE-SIM-2026-01/02)</t>
  </si>
  <si>
    <t>Authored 10-node spatial network simulation treatise across regional NSW.</t>
  </si>
  <si>
    <t>LOG-VPE-026</t>
  </si>
  <si>
    <t>Verify dynamic stability of 10-node Regional Trade Tensor Xi_trade and Leontief inverse (I - A)^-1 under 70-week drought.</t>
  </si>
  <si>
    <t>Validate 0/10 node defaults and total debt amortized.</t>
  </si>
  <si>
    <t>Re-read Multi-Village Simulation (ARI-VPE-SIM-2026-02) Section 4: 0/10 node defaults, total debt amortized linearly to $147.0M AUD, emergency buffer reserves accumulated to 42.0M WEST equivalents. Engineer verification tally: 5/5 dynamic tests PASS.</t>
  </si>
  <si>
    <t>0.1961 W</t>
  </si>
  <si>
    <t>Shelter (1 Wk)</t>
  </si>
  <si>
    <t>7.5816 W</t>
  </si>
  <si>
    <t>Care (1 Unit)</t>
  </si>
  <si>
    <t>2.0989 W</t>
  </si>
  <si>
    <t>Journal Authoring &amp; PM</t>
  </si>
  <si>
    <t>The Physics of Economic Value (ARI-VPE-JRNL-2026-01) &amp; Master PM Signoff</t>
  </si>
  <si>
    <t>Researcher &amp; PM</t>
  </si>
  <si>
    <t>Completed academic journal submission manuscript and executed full Sign-Off Protocol audit.</t>
  </si>
  <si>
    <t>Value Physics Strategic Research Roadmap</t>
  </si>
  <si>
    <t>The 5-Phase Trajectory toward a Validated Replacement Macroeconomic Model</t>
  </si>
  <si>
    <t>Phase #</t>
  </si>
  <si>
    <t>Phase Name</t>
  </si>
  <si>
    <t>Milestone / Work Package</t>
  </si>
  <si>
    <t>Technical &amp; Empirical Deliverable</t>
  </si>
  <si>
    <t>Target Horizon</t>
  </si>
  <si>
    <t>Status</t>
  </si>
  <si>
    <t>Key Lead / Responsible</t>
  </si>
  <si>
    <t>Phase 1</t>
  </si>
  <si>
    <t>M1.1: Universal Price Equation Formalization</t>
  </si>
  <si>
    <t>UPE scalar and field equations, 3-layer cost decomposition, 7-Plane Price Vector (P^7)</t>
  </si>
  <si>
    <t>Historical</t>
  </si>
  <si>
    <t>COMPLETED</t>
  </si>
  <si>
    <t>M1.2: Canonical TS_0 Reference Standard</t>
  </si>
  <si>
    <t>8-stage bread lifecycle mapped to Information Theory, Actualism, and physical invariant floor</t>
  </si>
  <si>
    <t>Phase 2</t>
  </si>
  <si>
    <t>Micro-Economy Modeling</t>
  </si>
  <si>
    <t>M2.1: 8-Stage Agent-Based Simulation</t>
  </si>
  <si>
    <t>100-timestep supply chain simulation evaluating RBA rate hikes and retail duopoly markups</t>
  </si>
  <si>
    <t>M2.2: Stock-Flow Consistent (SFC) Macro Model</t>
  </si>
  <si>
    <t>156-week empirical econometric model calibrated against ABARES/RBA/ACCC datasets</t>
  </si>
  <si>
    <t>Phase 3</t>
  </si>
  <si>
    <t>Meso-Scale &amp; Protocol</t>
  </si>
  <si>
    <t>M3.1: 5-Sector Closed-Loop Village Simulation</t>
  </si>
  <si>
    <t>Coupled Food, Energy, Water, Shelter, Care simulation across 156 weeks under compound shocks</t>
  </si>
  <si>
    <t>M3.2: Tri-Fold Cryptographic Ledger Whitepaper</t>
  </si>
  <si>
    <t>Proof-of-Difficulty (PoD) consensus specification and 1,000-run Monte Carlo stress testing</t>
  </si>
  <si>
    <t>Phase 4</t>
  </si>
  <si>
    <t>Multi-Sector Standards</t>
  </si>
  <si>
    <t>M4.1: Formal Paper 6 Remediation &amp; Polish</t>
  </si>
  <si>
    <t>Checker directives resolved, Reality Tensor verified, Table 5.1 recalibrated, metadata signed</t>
  </si>
  <si>
    <t>Completed</t>
  </si>
  <si>
    <t>Researcher / Checker</t>
  </si>
  <si>
    <t>M4.2: Energy (kWh) &amp; Water (kL) Matrices</t>
  </si>
  <si>
    <t>Empirical 56-cell matrices for solar/hydro microgrids and potable water utility catchment</t>
  </si>
  <si>
    <t>M4.3: Educational Primer Authoring</t>
  </si>
  <si>
    <t>Plain-English Beginner's Guide for public onboarding and policy translation (1yf9)</t>
  </si>
  <si>
    <t>M4.4: Automated Evaluation Scripts &amp; Tooling</t>
  </si>
  <si>
    <t>Python/Rust CLI tools for automated 56-cell DQ calculation and PoD block header validation</t>
  </si>
  <si>
    <t>Sprint Active</t>
  </si>
  <si>
    <t>ACTIVE</t>
  </si>
  <si>
    <t>M4.5: Shelter &amp; Care 56-Cell Calibration</t>
  </si>
  <si>
    <t>Formal 56-cell matrices for modular rammed-earth construction and clinical/educational labor</t>
  </si>
  <si>
    <t>M4.6: Continuous NotebookLM Knowledge Base Sync</t>
  </si>
  <si>
    <t>Maintain 100% synchronization of all completed papers into Notebook 3623093f-ad75</t>
  </si>
  <si>
    <t>Ongoing</t>
  </si>
  <si>
    <t>Phase 5</t>
  </si>
  <si>
    <t>Replacement Macro Model</t>
  </si>
  <si>
    <t>M5.1: Academic Journal Paper Submission Suite</t>
  </si>
  <si>
    <t>Consolidate master treatises for submission to heterodox and econophysics journals</t>
  </si>
  <si>
    <t>Q4 2026</t>
  </si>
  <si>
    <t>Triad Team</t>
  </si>
  <si>
    <t>M5.2: Regional Banking &amp; Credit Union Charter</t>
  </si>
  <si>
    <t>Draft statutory model charter and bylaws for Theorem 5 debt bifurcation (ARI-VPE-STAT-2026-01)</t>
  </si>
  <si>
    <t>Researcher / PM</t>
  </si>
  <si>
    <t>M5.3: Sovereign Policy Briefing for Inquiries</t>
  </si>
  <si>
    <t>Executive policy brief for Senate/ACCC regulatory inquiries on cost-of-living remediation (ARI-VPE-POL-2026-01)</t>
  </si>
  <si>
    <t>Directorate / PM</t>
  </si>
  <si>
    <t>M5.5: Open-Source Repository &amp; Web Visualization Dashboard Deployment</t>
  </si>
  <si>
    <t>Package multi_village_simulation.py and value_physics_engine.py into open-source repository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</si>
</sst>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yyyy-mm-dd"/>
  </numFmts>
  <fonts count="5">
    <font>
      <sz val="11.0"/>
      <color theme="1"/>
      <name val="Calibri"/>
      <scheme val="minor"/>
    </font>
    <font>
      <b/>
      <sz val="16.0"/>
      <color rgb="FF1B365D"/>
      <name val="Calibri"/>
    </font>
    <font>
      <i/>
      <sz val="11.0"/>
      <color rgb="FF595959"/>
      <name val="Calibri"/>
    </font>
    <font>
      <b/>
      <sz val="11.0"/>
      <color rgb="FFFFFFFF"/>
      <name val="Montserrat"/>
    </font>
    <font>
      <sz val="10.0"/>
      <color rgb="FF1A1B2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horizontal="right" vertical="center"/>
    </xf>
    <xf borderId="1" fillId="3" fontId="4" numFmtId="0" xfId="0" applyAlignment="1" applyBorder="1" applyFill="1" applyFont="1">
      <alignment readingOrder="0"/>
    </xf>
    <xf borderId="1" fillId="3" fontId="4" numFmtId="164" xfId="0" applyAlignment="1" applyBorder="1" applyFill="1" applyFont="1" applyNumberFormat="1">
      <alignment readingOrder="0" shrinkToFit="0" vertical="center" wrapText="1"/>
    </xf>
    <xf borderId="1" fillId="3" fontId="4" numFmtId="0" xfId="0" applyBorder="1" applyFill="1" applyFont="1"/>
    <xf borderId="1" fillId="3" fontId="4" numFmtId="165" xfId="0" applyAlignment="1" applyBorder="1" applyFill="1" applyFont="1" applyNumberFormat="1">
      <alignment readingOrder="0"/>
    </xf>
    <xf borderId="1" fillId="3" fontId="4" numFmtId="164" xfId="0" applyAlignment="1" applyBorder="1" applyFill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9F9FF"/>
          <bgColor rgb="FFF9F9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3" width="25.0"/>
    <col customWidth="1" min="4" max="4" width="45.0"/>
    <col customWidth="1" min="5" max="5" width="24.0"/>
    <col customWidth="1" min="6" max="6" width="18.0"/>
    <col customWidth="1" min="7" max="7" width="40.0"/>
    <col customWidth="1" min="8" max="26" width="8.71"/>
  </cols>
  <sheetData>
    <row r="1">
      <c r="A1" s="1" t="s">
        <v>0</v>
      </c>
    </row>
    <row r="2">
      <c r="A2" s="2" t="s">
        <v>4</v>
      </c>
    </row>
    <row r="4" ht="27.75" customHeight="1">
      <c r="A4" s="3" t="s">
        <v>8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</row>
    <row r="5" ht="21.75" customHeight="1">
      <c r="A5" s="4" t="s">
        <v>18</v>
      </c>
      <c r="B5" s="5" t="s">
        <v>19</v>
      </c>
      <c r="C5" s="5" t="s">
        <v>20</v>
      </c>
      <c r="D5" s="5" t="s">
        <v>21</v>
      </c>
      <c r="E5" s="4" t="s">
        <v>22</v>
      </c>
      <c r="F5" s="5" t="s">
        <v>23</v>
      </c>
      <c r="G5" s="5" t="s">
        <v>24</v>
      </c>
    </row>
    <row r="6" ht="21.75" customHeight="1">
      <c r="A6" s="4" t="s">
        <v>25</v>
      </c>
      <c r="B6" s="5" t="s">
        <v>26</v>
      </c>
      <c r="C6" s="5" t="s">
        <v>27</v>
      </c>
      <c r="D6" s="5" t="s">
        <v>28</v>
      </c>
      <c r="E6" s="4" t="s">
        <v>29</v>
      </c>
      <c r="F6" s="5" t="s">
        <v>23</v>
      </c>
      <c r="G6" s="5" t="s">
        <v>30</v>
      </c>
    </row>
    <row r="7" ht="21.75" customHeight="1">
      <c r="A7" s="4" t="s">
        <v>33</v>
      </c>
      <c r="B7" s="5" t="s">
        <v>35</v>
      </c>
      <c r="C7" s="5" t="s">
        <v>36</v>
      </c>
      <c r="D7" s="5" t="s">
        <v>38</v>
      </c>
      <c r="E7" s="4" t="s">
        <v>39</v>
      </c>
      <c r="F7" s="5" t="s">
        <v>23</v>
      </c>
      <c r="G7" s="5" t="s">
        <v>40</v>
      </c>
    </row>
    <row r="8" ht="21.75" customHeight="1">
      <c r="A8" s="4" t="s">
        <v>41</v>
      </c>
      <c r="B8" s="5" t="s">
        <v>42</v>
      </c>
      <c r="C8" s="5" t="s">
        <v>43</v>
      </c>
      <c r="D8" s="5" t="s">
        <v>45</v>
      </c>
      <c r="E8" s="4" t="s">
        <v>46</v>
      </c>
      <c r="F8" s="5" t="s">
        <v>23</v>
      </c>
      <c r="G8" s="5" t="s">
        <v>47</v>
      </c>
    </row>
    <row r="9" ht="21.75" customHeight="1">
      <c r="A9" s="4" t="s">
        <v>48</v>
      </c>
      <c r="B9" s="5" t="s">
        <v>51</v>
      </c>
      <c r="C9" s="5" t="s">
        <v>54</v>
      </c>
      <c r="D9" s="5" t="s">
        <v>56</v>
      </c>
      <c r="E9" s="4" t="s">
        <v>58</v>
      </c>
      <c r="F9" s="5" t="s">
        <v>23</v>
      </c>
      <c r="G9" s="5" t="s">
        <v>61</v>
      </c>
    </row>
    <row r="10" ht="21.75" customHeight="1">
      <c r="A10" s="4" t="s">
        <v>64</v>
      </c>
      <c r="B10" s="5" t="s">
        <v>66</v>
      </c>
      <c r="C10" s="5" t="s">
        <v>69</v>
      </c>
      <c r="D10" s="5" t="s">
        <v>70</v>
      </c>
      <c r="E10" s="4" t="s">
        <v>58</v>
      </c>
      <c r="F10" s="5" t="s">
        <v>23</v>
      </c>
      <c r="G10" s="5" t="s">
        <v>74</v>
      </c>
    </row>
    <row r="11" ht="21.75" customHeight="1">
      <c r="A11" s="4" t="s">
        <v>75</v>
      </c>
      <c r="B11" s="5" t="s">
        <v>76</v>
      </c>
      <c r="C11" s="5" t="s">
        <v>77</v>
      </c>
      <c r="D11" s="5" t="s">
        <v>79</v>
      </c>
      <c r="E11" s="4" t="s">
        <v>58</v>
      </c>
      <c r="F11" s="5" t="s">
        <v>23</v>
      </c>
      <c r="G11" s="5" t="s">
        <v>82</v>
      </c>
    </row>
    <row r="12" ht="21.75" customHeight="1">
      <c r="A12" s="4" t="s">
        <v>83</v>
      </c>
      <c r="B12" s="5" t="s">
        <v>84</v>
      </c>
      <c r="C12" s="5" t="s">
        <v>85</v>
      </c>
      <c r="D12" s="5" t="s">
        <v>86</v>
      </c>
      <c r="E12" s="4" t="s">
        <v>58</v>
      </c>
      <c r="F12" s="5" t="s">
        <v>23</v>
      </c>
      <c r="G12" s="5" t="s">
        <v>87</v>
      </c>
    </row>
    <row r="13" ht="21.75" customHeight="1">
      <c r="A13" s="4" t="s">
        <v>88</v>
      </c>
      <c r="B13" s="5" t="s">
        <v>89</v>
      </c>
      <c r="C13" s="5" t="s">
        <v>90</v>
      </c>
      <c r="D13" s="5" t="s">
        <v>91</v>
      </c>
      <c r="E13" s="4" t="s">
        <v>92</v>
      </c>
      <c r="F13" s="5" t="s">
        <v>23</v>
      </c>
      <c r="G13" s="5" t="s">
        <v>93</v>
      </c>
    </row>
    <row r="14" ht="21.75" customHeight="1">
      <c r="A14" s="4" t="s">
        <v>94</v>
      </c>
      <c r="B14" s="5" t="s">
        <v>95</v>
      </c>
      <c r="C14" s="5" t="s">
        <v>96</v>
      </c>
      <c r="D14" s="5" t="s">
        <v>97</v>
      </c>
      <c r="E14" s="4" t="s">
        <v>98</v>
      </c>
      <c r="F14" s="5" t="s">
        <v>23</v>
      </c>
      <c r="G14" s="5" t="s">
        <v>99</v>
      </c>
    </row>
    <row r="15" ht="21.75" customHeight="1">
      <c r="A15" s="4" t="s">
        <v>100</v>
      </c>
      <c r="B15" s="5" t="s">
        <v>101</v>
      </c>
      <c r="C15" s="5" t="s">
        <v>102</v>
      </c>
      <c r="D15" s="5" t="s">
        <v>103</v>
      </c>
      <c r="E15" s="4" t="s">
        <v>104</v>
      </c>
      <c r="F15" s="5" t="s">
        <v>23</v>
      </c>
      <c r="G15" s="5" t="s">
        <v>106</v>
      </c>
    </row>
    <row r="16" ht="21.75" customHeight="1">
      <c r="A16" s="4" t="s">
        <v>107</v>
      </c>
      <c r="B16" s="5" t="s">
        <v>108</v>
      </c>
      <c r="C16" s="5" t="s">
        <v>109</v>
      </c>
      <c r="D16" s="5" t="s">
        <v>110</v>
      </c>
      <c r="E16" s="4" t="s">
        <v>111</v>
      </c>
      <c r="F16" s="5" t="s">
        <v>23</v>
      </c>
      <c r="G16" s="5" t="s">
        <v>112</v>
      </c>
    </row>
    <row r="17" ht="21.75" customHeight="1">
      <c r="A17" s="4" t="s">
        <v>114</v>
      </c>
      <c r="B17" s="5" t="s">
        <v>115</v>
      </c>
      <c r="C17" s="5" t="s">
        <v>116</v>
      </c>
      <c r="D17" s="5" t="s">
        <v>117</v>
      </c>
      <c r="E17" s="4" t="s">
        <v>118</v>
      </c>
      <c r="F17" s="5" t="s">
        <v>23</v>
      </c>
      <c r="G17" s="5" t="s">
        <v>119</v>
      </c>
    </row>
    <row r="18" ht="21.75" customHeight="1">
      <c r="A18" s="4" t="s">
        <v>120</v>
      </c>
      <c r="B18" s="5" t="s">
        <v>121</v>
      </c>
      <c r="C18" s="5" t="s">
        <v>122</v>
      </c>
      <c r="D18" s="5" t="s">
        <v>123</v>
      </c>
      <c r="E18" s="4" t="s">
        <v>124</v>
      </c>
      <c r="F18" s="5" t="s">
        <v>23</v>
      </c>
      <c r="G18" s="5" t="s">
        <v>125</v>
      </c>
    </row>
    <row r="19" ht="21.75" customHeight="1">
      <c r="A19" s="4" t="s">
        <v>126</v>
      </c>
      <c r="B19" s="5" t="s">
        <v>128</v>
      </c>
      <c r="C19" s="5" t="s">
        <v>129</v>
      </c>
      <c r="D19" s="5" t="s">
        <v>131</v>
      </c>
      <c r="E19" s="4" t="s">
        <v>132</v>
      </c>
      <c r="F19" s="5" t="s">
        <v>23</v>
      </c>
      <c r="G19" s="5" t="s">
        <v>134</v>
      </c>
    </row>
    <row r="20" ht="21.75" customHeight="1">
      <c r="A20" s="4" t="s">
        <v>135</v>
      </c>
      <c r="B20" s="5" t="s">
        <v>138</v>
      </c>
      <c r="C20" s="5" t="s">
        <v>139</v>
      </c>
      <c r="D20" s="5" t="s">
        <v>140</v>
      </c>
      <c r="E20" s="4" t="s">
        <v>142</v>
      </c>
      <c r="F20" s="5" t="s">
        <v>23</v>
      </c>
      <c r="G20" s="5" t="s">
        <v>144</v>
      </c>
    </row>
    <row r="21" ht="21.75" customHeight="1">
      <c r="A21" s="4" t="s">
        <v>146</v>
      </c>
      <c r="B21" s="5" t="s">
        <v>148</v>
      </c>
      <c r="C21" s="5" t="s">
        <v>150</v>
      </c>
      <c r="D21" s="5" t="s">
        <v>152</v>
      </c>
      <c r="E21" s="4" t="s">
        <v>155</v>
      </c>
      <c r="F21" s="5" t="s">
        <v>23</v>
      </c>
      <c r="G21" s="5" t="s">
        <v>159</v>
      </c>
    </row>
    <row r="22" ht="21.75" customHeight="1">
      <c r="A22" s="4" t="s">
        <v>161</v>
      </c>
      <c r="B22" s="5" t="s">
        <v>197</v>
      </c>
      <c r="C22" s="5" t="s">
        <v>201</v>
      </c>
      <c r="D22" s="5" t="s">
        <v>204</v>
      </c>
      <c r="E22" s="4" t="s">
        <v>213</v>
      </c>
      <c r="F22" s="5" t="s">
        <v>23</v>
      </c>
      <c r="G22" s="5" t="s">
        <v>216</v>
      </c>
    </row>
    <row r="23" ht="21.75" customHeight="1">
      <c r="A23" s="4" t="s">
        <v>221</v>
      </c>
      <c r="B23" s="5" t="s">
        <v>224</v>
      </c>
      <c r="C23" s="5" t="s">
        <v>226</v>
      </c>
      <c r="D23" s="5" t="s">
        <v>228</v>
      </c>
      <c r="E23" s="4" t="s">
        <v>230</v>
      </c>
      <c r="F23" s="5" t="s">
        <v>23</v>
      </c>
      <c r="G23" s="5" t="s">
        <v>233</v>
      </c>
    </row>
    <row r="24" ht="21.75" customHeight="1">
      <c r="A24" s="4" t="s">
        <v>234</v>
      </c>
      <c r="B24" s="5" t="s">
        <v>236</v>
      </c>
      <c r="C24" s="5" t="s">
        <v>238</v>
      </c>
      <c r="D24" s="5" t="s">
        <v>240</v>
      </c>
      <c r="E24" s="4" t="s">
        <v>242</v>
      </c>
      <c r="F24" s="5" t="s">
        <v>23</v>
      </c>
      <c r="G24" s="5" t="s">
        <v>245</v>
      </c>
    </row>
    <row r="25" ht="15.75" customHeight="1">
      <c r="A25" s="10" t="s">
        <v>255</v>
      </c>
      <c r="B25" s="10" t="s">
        <v>318</v>
      </c>
      <c r="C25" s="10" t="s">
        <v>320</v>
      </c>
      <c r="D25" s="10" t="s">
        <v>323</v>
      </c>
      <c r="E25" s="10" t="s">
        <v>325</v>
      </c>
      <c r="F25" s="10" t="s">
        <v>23</v>
      </c>
      <c r="G25" s="10" t="s">
        <v>329</v>
      </c>
    </row>
    <row r="26" ht="15.75" customHeight="1">
      <c r="A26" s="10" t="s">
        <v>335</v>
      </c>
      <c r="B26" s="10" t="s">
        <v>339</v>
      </c>
      <c r="C26" s="10" t="s">
        <v>341</v>
      </c>
      <c r="D26" s="10" t="s">
        <v>343</v>
      </c>
      <c r="E26" s="10" t="s">
        <v>345</v>
      </c>
      <c r="F26" s="10" t="s">
        <v>23</v>
      </c>
      <c r="G26" s="10" t="s">
        <v>349</v>
      </c>
    </row>
    <row r="27" ht="15.75" customHeight="1">
      <c r="A27" s="10" t="s">
        <v>351</v>
      </c>
      <c r="B27" s="10" t="s">
        <v>352</v>
      </c>
      <c r="C27" s="10" t="s">
        <v>355</v>
      </c>
      <c r="D27" s="10" t="s">
        <v>357</v>
      </c>
      <c r="E27" s="10" t="s">
        <v>360</v>
      </c>
      <c r="F27" s="10" t="s">
        <v>23</v>
      </c>
      <c r="G27" s="10" t="s">
        <v>367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5:G27">
    <cfRule type="expression" dxfId="0" priority="1" stopIfTrue="1">
      <formula>ISODD(ROW())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8.0"/>
    <col customWidth="1" min="4" max="4" width="22.0"/>
    <col customWidth="1" min="5" max="5" width="32.0"/>
    <col customWidth="1" min="6" max="6" width="18.0"/>
    <col customWidth="1" min="7" max="7" width="55.0"/>
    <col customWidth="1" min="8" max="26" width="8.71"/>
  </cols>
  <sheetData>
    <row r="1">
      <c r="A1" s="1" t="s">
        <v>3</v>
      </c>
    </row>
    <row r="2">
      <c r="A2" s="2" t="s">
        <v>5</v>
      </c>
    </row>
    <row r="4" ht="27.75" customHeight="1">
      <c r="A4" s="6" t="s">
        <v>9</v>
      </c>
      <c r="B4" s="6" t="s">
        <v>31</v>
      </c>
      <c r="C4" s="6" t="s">
        <v>32</v>
      </c>
      <c r="D4" s="6" t="s">
        <v>34</v>
      </c>
      <c r="E4" s="6" t="s">
        <v>37</v>
      </c>
      <c r="F4" s="6" t="s">
        <v>50</v>
      </c>
      <c r="G4" s="6" t="s">
        <v>53</v>
      </c>
    </row>
    <row r="5" ht="21.75" customHeight="1">
      <c r="A5" s="7" t="s">
        <v>78</v>
      </c>
      <c r="B5" s="8" t="s">
        <v>105</v>
      </c>
      <c r="C5" s="8" t="s">
        <v>145</v>
      </c>
      <c r="D5" s="8" t="s">
        <v>151</v>
      </c>
      <c r="E5" s="8" t="s">
        <v>154</v>
      </c>
      <c r="F5" s="8" t="s">
        <v>156</v>
      </c>
      <c r="G5" s="8" t="s">
        <v>158</v>
      </c>
    </row>
    <row r="6" ht="21.75" customHeight="1">
      <c r="A6" s="7" t="s">
        <v>160</v>
      </c>
      <c r="B6" s="8" t="s">
        <v>162</v>
      </c>
      <c r="C6" s="8" t="s">
        <v>164</v>
      </c>
      <c r="D6" s="8" t="s">
        <v>165</v>
      </c>
      <c r="E6" s="8" t="s">
        <v>166</v>
      </c>
      <c r="F6" s="8" t="s">
        <v>156</v>
      </c>
      <c r="G6" s="8" t="s">
        <v>167</v>
      </c>
    </row>
    <row r="7" ht="21.75" customHeight="1">
      <c r="A7" s="7" t="s">
        <v>168</v>
      </c>
      <c r="B7" s="8" t="s">
        <v>170</v>
      </c>
      <c r="C7" s="8" t="s">
        <v>171</v>
      </c>
      <c r="D7" s="8" t="s">
        <v>173</v>
      </c>
      <c r="E7" s="8" t="s">
        <v>174</v>
      </c>
      <c r="F7" s="8" t="s">
        <v>156</v>
      </c>
      <c r="G7" s="8" t="s">
        <v>178</v>
      </c>
    </row>
    <row r="8" ht="21.75" customHeight="1">
      <c r="A8" s="7" t="s">
        <v>179</v>
      </c>
      <c r="B8" s="8" t="s">
        <v>180</v>
      </c>
      <c r="C8" s="8" t="s">
        <v>181</v>
      </c>
      <c r="D8" s="8" t="s">
        <v>183</v>
      </c>
      <c r="E8" s="8" t="s">
        <v>184</v>
      </c>
      <c r="F8" s="8" t="s">
        <v>156</v>
      </c>
      <c r="G8" s="8" t="s">
        <v>185</v>
      </c>
    </row>
    <row r="9" ht="21.75" customHeight="1">
      <c r="A9" s="7" t="s">
        <v>187</v>
      </c>
      <c r="B9" s="8" t="s">
        <v>188</v>
      </c>
      <c r="C9" s="8" t="s">
        <v>190</v>
      </c>
      <c r="D9" s="8" t="s">
        <v>192</v>
      </c>
      <c r="E9" s="8" t="s">
        <v>193</v>
      </c>
      <c r="F9" s="8" t="s">
        <v>156</v>
      </c>
      <c r="G9" s="8" t="s">
        <v>194</v>
      </c>
    </row>
    <row r="10" ht="21.75" customHeight="1">
      <c r="A10" s="7" t="s">
        <v>195</v>
      </c>
      <c r="B10" s="8" t="s">
        <v>196</v>
      </c>
      <c r="C10" s="8" t="s">
        <v>198</v>
      </c>
      <c r="D10" s="8" t="s">
        <v>199</v>
      </c>
      <c r="E10" s="8" t="s">
        <v>200</v>
      </c>
      <c r="F10" s="8" t="s">
        <v>156</v>
      </c>
      <c r="G10" s="8" t="s">
        <v>203</v>
      </c>
    </row>
    <row r="11" ht="21.75" customHeight="1">
      <c r="A11" s="7" t="s">
        <v>206</v>
      </c>
      <c r="B11" s="8" t="s">
        <v>207</v>
      </c>
      <c r="C11" s="8" t="s">
        <v>209</v>
      </c>
      <c r="D11" s="8" t="s">
        <v>210</v>
      </c>
      <c r="E11" s="8" t="s">
        <v>212</v>
      </c>
      <c r="F11" s="8" t="s">
        <v>156</v>
      </c>
      <c r="G11" s="8" t="s">
        <v>214</v>
      </c>
    </row>
    <row r="12" ht="21.75" customHeight="1">
      <c r="A12" s="7" t="s">
        <v>215</v>
      </c>
      <c r="B12" s="8" t="s">
        <v>217</v>
      </c>
      <c r="C12" s="8" t="s">
        <v>218</v>
      </c>
      <c r="D12" s="8" t="s">
        <v>220</v>
      </c>
      <c r="E12" s="8" t="s">
        <v>222</v>
      </c>
      <c r="F12" s="8" t="s">
        <v>156</v>
      </c>
      <c r="G12" s="8" t="s">
        <v>229</v>
      </c>
    </row>
    <row r="13" ht="21.75" customHeight="1">
      <c r="A13" s="7" t="s">
        <v>232</v>
      </c>
      <c r="B13" s="8" t="s">
        <v>217</v>
      </c>
      <c r="C13" s="8" t="s">
        <v>218</v>
      </c>
      <c r="D13" s="8" t="s">
        <v>237</v>
      </c>
      <c r="E13" s="8" t="s">
        <v>241</v>
      </c>
      <c r="F13" s="8" t="s">
        <v>243</v>
      </c>
      <c r="G13" s="8" t="s">
        <v>244</v>
      </c>
    </row>
    <row r="14" ht="21.75" customHeight="1">
      <c r="A14" s="7" t="s">
        <v>246</v>
      </c>
      <c r="B14" s="8" t="s">
        <v>248</v>
      </c>
      <c r="C14" s="8" t="s">
        <v>249</v>
      </c>
      <c r="D14" s="8" t="s">
        <v>251</v>
      </c>
      <c r="E14" s="8" t="s">
        <v>252</v>
      </c>
      <c r="F14" s="8" t="s">
        <v>156</v>
      </c>
      <c r="G14" s="8" t="s">
        <v>256</v>
      </c>
    </row>
    <row r="15" ht="21.75" customHeight="1">
      <c r="A15" s="7" t="s">
        <v>259</v>
      </c>
      <c r="B15" s="8" t="s">
        <v>261</v>
      </c>
      <c r="C15" s="8" t="s">
        <v>263</v>
      </c>
      <c r="D15" s="8" t="s">
        <v>265</v>
      </c>
      <c r="E15" s="8" t="s">
        <v>266</v>
      </c>
      <c r="F15" s="8" t="s">
        <v>156</v>
      </c>
      <c r="G15" s="8" t="s">
        <v>269</v>
      </c>
    </row>
    <row r="16" ht="21.75" customHeight="1">
      <c r="A16" s="7" t="s">
        <v>272</v>
      </c>
      <c r="B16" s="8" t="s">
        <v>274</v>
      </c>
      <c r="C16" s="8" t="s">
        <v>277</v>
      </c>
      <c r="D16" s="8" t="s">
        <v>279</v>
      </c>
      <c r="E16" s="8" t="s">
        <v>280</v>
      </c>
      <c r="F16" s="8" t="s">
        <v>156</v>
      </c>
      <c r="G16" s="8" t="s">
        <v>282</v>
      </c>
    </row>
    <row r="17" ht="21.75" customHeight="1">
      <c r="A17" s="7" t="s">
        <v>284</v>
      </c>
      <c r="B17" s="8" t="s">
        <v>286</v>
      </c>
      <c r="C17" s="8" t="s">
        <v>288</v>
      </c>
      <c r="D17" s="8" t="s">
        <v>290</v>
      </c>
      <c r="E17" s="8" t="s">
        <v>292</v>
      </c>
      <c r="F17" s="8" t="s">
        <v>156</v>
      </c>
      <c r="G17" s="8" t="s">
        <v>296</v>
      </c>
    </row>
    <row r="18" ht="21.75" customHeight="1">
      <c r="A18" s="7" t="s">
        <v>299</v>
      </c>
      <c r="B18" s="8" t="s">
        <v>300</v>
      </c>
      <c r="C18" s="8" t="s">
        <v>301</v>
      </c>
      <c r="D18" s="8" t="s">
        <v>303</v>
      </c>
      <c r="E18" s="8" t="s">
        <v>305</v>
      </c>
      <c r="F18" s="8" t="s">
        <v>308</v>
      </c>
      <c r="G18" s="8" t="s">
        <v>310</v>
      </c>
    </row>
    <row r="19" ht="21.75" customHeight="1">
      <c r="A19" s="7" t="s">
        <v>313</v>
      </c>
      <c r="B19" s="8" t="s">
        <v>315</v>
      </c>
      <c r="C19" s="8" t="s">
        <v>317</v>
      </c>
      <c r="D19" s="8" t="s">
        <v>319</v>
      </c>
      <c r="E19" s="8" t="s">
        <v>322</v>
      </c>
      <c r="F19" s="8" t="s">
        <v>156</v>
      </c>
      <c r="G19" s="8" t="s">
        <v>326</v>
      </c>
    </row>
    <row r="20" ht="21.75" customHeight="1">
      <c r="A20" s="7" t="s">
        <v>330</v>
      </c>
      <c r="B20" s="8" t="s">
        <v>332</v>
      </c>
      <c r="C20" s="8" t="s">
        <v>334</v>
      </c>
      <c r="D20" s="8" t="s">
        <v>337</v>
      </c>
      <c r="E20" s="8" t="s">
        <v>340</v>
      </c>
      <c r="F20" s="8" t="s">
        <v>156</v>
      </c>
      <c r="G20" s="8" t="s">
        <v>347</v>
      </c>
    </row>
    <row r="21" ht="21.75" customHeight="1">
      <c r="A21" s="7" t="s">
        <v>361</v>
      </c>
      <c r="B21" s="8" t="s">
        <v>363</v>
      </c>
      <c r="C21" s="8" t="s">
        <v>366</v>
      </c>
      <c r="D21" s="8" t="s">
        <v>368</v>
      </c>
      <c r="E21" s="8" t="s">
        <v>138</v>
      </c>
      <c r="F21" s="8" t="s">
        <v>156</v>
      </c>
      <c r="G21" s="8" t="s">
        <v>372</v>
      </c>
    </row>
    <row r="22" ht="21.75" customHeight="1">
      <c r="A22" s="7" t="s">
        <v>374</v>
      </c>
      <c r="B22" s="8" t="s">
        <v>375</v>
      </c>
      <c r="C22" s="8" t="s">
        <v>376</v>
      </c>
      <c r="D22" s="8" t="s">
        <v>377</v>
      </c>
      <c r="E22" s="8" t="s">
        <v>378</v>
      </c>
      <c r="F22" s="8" t="s">
        <v>156</v>
      </c>
      <c r="G22" s="8" t="s">
        <v>380</v>
      </c>
    </row>
    <row r="23" ht="21.75" customHeight="1">
      <c r="A23" s="7" t="s">
        <v>381</v>
      </c>
      <c r="B23" s="8" t="s">
        <v>384</v>
      </c>
      <c r="C23" s="8" t="s">
        <v>385</v>
      </c>
      <c r="D23" s="8" t="s">
        <v>386</v>
      </c>
      <c r="E23" s="8" t="s">
        <v>387</v>
      </c>
      <c r="F23" s="8" t="s">
        <v>243</v>
      </c>
      <c r="G23" s="8" t="s">
        <v>391</v>
      </c>
    </row>
    <row r="24" ht="21.75" customHeight="1">
      <c r="A24" s="7" t="s">
        <v>392</v>
      </c>
      <c r="B24" s="8" t="s">
        <v>393</v>
      </c>
      <c r="C24" s="8" t="s">
        <v>395</v>
      </c>
      <c r="D24" s="8" t="s">
        <v>397</v>
      </c>
      <c r="E24" s="8" t="s">
        <v>399</v>
      </c>
      <c r="F24" s="8" t="s">
        <v>243</v>
      </c>
      <c r="G24" s="8" t="s">
        <v>402</v>
      </c>
    </row>
    <row r="25" ht="21.75" customHeight="1">
      <c r="A25" s="7" t="s">
        <v>404</v>
      </c>
      <c r="B25" s="8" t="s">
        <v>405</v>
      </c>
      <c r="C25" s="8" t="s">
        <v>406</v>
      </c>
      <c r="D25" s="8" t="s">
        <v>407</v>
      </c>
      <c r="E25" s="8" t="s">
        <v>408</v>
      </c>
      <c r="F25" s="8" t="s">
        <v>156</v>
      </c>
      <c r="G25" s="8" t="s">
        <v>410</v>
      </c>
    </row>
    <row r="26" ht="21.75" customHeight="1">
      <c r="A26" s="7" t="s">
        <v>412</v>
      </c>
      <c r="B26" s="8" t="s">
        <v>405</v>
      </c>
      <c r="C26" s="8" t="s">
        <v>406</v>
      </c>
      <c r="D26" s="8" t="s">
        <v>416</v>
      </c>
      <c r="E26" s="8" t="s">
        <v>419</v>
      </c>
      <c r="F26" s="8" t="s">
        <v>156</v>
      </c>
      <c r="G26" s="8" t="s">
        <v>422</v>
      </c>
    </row>
    <row r="27" ht="21.75" customHeight="1">
      <c r="A27" s="4" t="s">
        <v>429</v>
      </c>
      <c r="B27" s="11">
        <v>46260.34097222222</v>
      </c>
      <c r="C27" s="11">
        <v>46260.75763888889</v>
      </c>
      <c r="D27" s="5" t="s">
        <v>459</v>
      </c>
      <c r="E27" s="5" t="s">
        <v>460</v>
      </c>
      <c r="F27" s="5" t="s">
        <v>156</v>
      </c>
      <c r="G27" s="8" t="s">
        <v>461</v>
      </c>
    </row>
    <row r="28" ht="21.75" customHeight="1">
      <c r="A28" s="4" t="s">
        <v>462</v>
      </c>
      <c r="B28" s="11">
        <v>46260.90277777778</v>
      </c>
      <c r="C28" s="11">
        <v>46261.319444444445</v>
      </c>
      <c r="D28" s="5" t="s">
        <v>463</v>
      </c>
      <c r="E28" s="5" t="s">
        <v>464</v>
      </c>
      <c r="F28" s="5" t="s">
        <v>156</v>
      </c>
      <c r="G28" s="5" t="s">
        <v>465</v>
      </c>
    </row>
    <row r="29" ht="15.75" customHeight="1">
      <c r="A29" s="10" t="s">
        <v>466</v>
      </c>
      <c r="B29" s="14">
        <v>46261.91388888889</v>
      </c>
      <c r="C29" s="14">
        <v>46262.330555555556</v>
      </c>
      <c r="D29" s="10" t="s">
        <v>475</v>
      </c>
      <c r="E29" s="10" t="s">
        <v>476</v>
      </c>
      <c r="F29" s="10" t="s">
        <v>477</v>
      </c>
      <c r="G29" s="10" t="s">
        <v>478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5:G29">
    <cfRule type="expression" dxfId="0" priority="1" stopIfTrue="1">
      <formula>ISODD(ROW())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.0"/>
    <col customWidth="1" min="3" max="3" width="36.0"/>
    <col customWidth="1" min="4" max="4" width="18.0"/>
    <col customWidth="1" min="5" max="5" width="20.0"/>
    <col customWidth="1" min="6" max="6" width="18.0"/>
    <col customWidth="1" min="7" max="7" width="16.0"/>
    <col customWidth="1" min="8" max="8" width="32.0"/>
    <col customWidth="1" min="9" max="9" width="22.0"/>
    <col customWidth="1" min="10" max="26" width="8.71"/>
  </cols>
  <sheetData>
    <row r="1">
      <c r="A1" s="1" t="s">
        <v>1</v>
      </c>
    </row>
    <row r="2">
      <c r="A2" s="2" t="s">
        <v>7</v>
      </c>
    </row>
    <row r="4" ht="27.75" customHeight="1">
      <c r="A4" s="6" t="s">
        <v>11</v>
      </c>
      <c r="B4" s="6" t="s">
        <v>52</v>
      </c>
      <c r="C4" s="6" t="s">
        <v>57</v>
      </c>
      <c r="D4" s="6" t="s">
        <v>60</v>
      </c>
      <c r="E4" s="6" t="s">
        <v>63</v>
      </c>
      <c r="F4" s="6" t="s">
        <v>65</v>
      </c>
      <c r="G4" s="6" t="s">
        <v>68</v>
      </c>
      <c r="H4" s="6" t="s">
        <v>71</v>
      </c>
      <c r="I4" s="6" t="s">
        <v>73</v>
      </c>
    </row>
    <row r="5" ht="21.75" customHeight="1">
      <c r="A5" s="7" t="s">
        <v>81</v>
      </c>
      <c r="B5" s="8" t="s">
        <v>137</v>
      </c>
      <c r="C5" s="8" t="s">
        <v>141</v>
      </c>
      <c r="D5" s="9" t="s">
        <v>149</v>
      </c>
      <c r="E5" s="8" t="s">
        <v>163</v>
      </c>
      <c r="F5" s="8" t="s">
        <v>169</v>
      </c>
      <c r="G5" s="9" t="s">
        <v>172</v>
      </c>
      <c r="H5" s="8" t="s">
        <v>175</v>
      </c>
      <c r="I5" s="8" t="s">
        <v>177</v>
      </c>
    </row>
    <row r="6" ht="21.75" customHeight="1">
      <c r="A6" s="7" t="s">
        <v>81</v>
      </c>
      <c r="B6" s="8" t="s">
        <v>186</v>
      </c>
      <c r="C6" s="8" t="s">
        <v>189</v>
      </c>
      <c r="D6" s="9" t="s">
        <v>191</v>
      </c>
      <c r="E6" s="8" t="s">
        <v>202</v>
      </c>
      <c r="F6" s="8" t="s">
        <v>205</v>
      </c>
      <c r="G6" s="9" t="s">
        <v>208</v>
      </c>
      <c r="H6" s="8" t="s">
        <v>211</v>
      </c>
      <c r="I6" s="8" t="s">
        <v>177</v>
      </c>
    </row>
    <row r="7" ht="21.75" customHeight="1">
      <c r="A7" s="7" t="s">
        <v>81</v>
      </c>
      <c r="B7" s="8" t="s">
        <v>219</v>
      </c>
      <c r="C7" s="8" t="s">
        <v>223</v>
      </c>
      <c r="D7" s="9" t="s">
        <v>225</v>
      </c>
      <c r="E7" s="8" t="s">
        <v>227</v>
      </c>
      <c r="F7" s="8" t="s">
        <v>231</v>
      </c>
      <c r="G7" s="9" t="s">
        <v>172</v>
      </c>
      <c r="H7" s="8" t="s">
        <v>235</v>
      </c>
      <c r="I7" s="8" t="s">
        <v>177</v>
      </c>
    </row>
    <row r="8" ht="21.75" customHeight="1">
      <c r="A8" s="7" t="s">
        <v>81</v>
      </c>
      <c r="B8" s="8" t="s">
        <v>247</v>
      </c>
      <c r="C8" s="8" t="s">
        <v>250</v>
      </c>
      <c r="D8" s="9" t="s">
        <v>253</v>
      </c>
      <c r="E8" s="8" t="s">
        <v>254</v>
      </c>
      <c r="F8" s="8" t="s">
        <v>258</v>
      </c>
      <c r="G8" s="9" t="s">
        <v>260</v>
      </c>
      <c r="H8" s="8" t="s">
        <v>262</v>
      </c>
      <c r="I8" s="8" t="s">
        <v>177</v>
      </c>
    </row>
    <row r="9" ht="21.75" customHeight="1">
      <c r="A9" s="7" t="s">
        <v>81</v>
      </c>
      <c r="B9" s="8" t="s">
        <v>267</v>
      </c>
      <c r="C9" s="8" t="s">
        <v>268</v>
      </c>
      <c r="D9" s="9" t="s">
        <v>270</v>
      </c>
      <c r="E9" s="8" t="s">
        <v>271</v>
      </c>
      <c r="F9" s="8" t="s">
        <v>273</v>
      </c>
      <c r="G9" s="9" t="s">
        <v>276</v>
      </c>
      <c r="H9" s="8" t="s">
        <v>278</v>
      </c>
      <c r="I9" s="8" t="s">
        <v>177</v>
      </c>
    </row>
    <row r="10" ht="21.75" customHeight="1">
      <c r="A10" s="7" t="s">
        <v>81</v>
      </c>
      <c r="B10" s="8" t="s">
        <v>283</v>
      </c>
      <c r="C10" s="8" t="s">
        <v>285</v>
      </c>
      <c r="D10" s="9" t="s">
        <v>289</v>
      </c>
      <c r="E10" s="8" t="s">
        <v>291</v>
      </c>
      <c r="F10" s="8" t="s">
        <v>293</v>
      </c>
      <c r="G10" s="9" t="s">
        <v>295</v>
      </c>
      <c r="H10" s="8" t="s">
        <v>297</v>
      </c>
      <c r="I10" s="8" t="s">
        <v>177</v>
      </c>
    </row>
    <row r="11" ht="21.75" customHeight="1">
      <c r="A11" s="7" t="s">
        <v>81</v>
      </c>
      <c r="B11" s="8" t="s">
        <v>302</v>
      </c>
      <c r="C11" s="8" t="s">
        <v>304</v>
      </c>
      <c r="D11" s="9" t="s">
        <v>307</v>
      </c>
      <c r="E11" s="8" t="s">
        <v>309</v>
      </c>
      <c r="F11" s="8" t="s">
        <v>311</v>
      </c>
      <c r="G11" s="9" t="s">
        <v>314</v>
      </c>
      <c r="H11" s="8" t="s">
        <v>316</v>
      </c>
      <c r="I11" s="8" t="s">
        <v>177</v>
      </c>
    </row>
    <row r="12" ht="21.75" customHeight="1">
      <c r="A12" s="7" t="s">
        <v>81</v>
      </c>
      <c r="B12" s="8" t="s">
        <v>324</v>
      </c>
      <c r="C12" s="8" t="s">
        <v>328</v>
      </c>
      <c r="D12" s="9" t="s">
        <v>331</v>
      </c>
      <c r="E12" s="8" t="s">
        <v>336</v>
      </c>
      <c r="F12" s="8" t="s">
        <v>338</v>
      </c>
      <c r="G12" s="9" t="s">
        <v>342</v>
      </c>
      <c r="H12" s="8" t="s">
        <v>346</v>
      </c>
      <c r="I12" s="8" t="s">
        <v>177</v>
      </c>
    </row>
    <row r="13" ht="21.75" customHeight="1">
      <c r="A13" s="7" t="s">
        <v>350</v>
      </c>
      <c r="B13" s="8" t="s">
        <v>137</v>
      </c>
      <c r="C13" s="8" t="s">
        <v>353</v>
      </c>
      <c r="D13" s="9" t="s">
        <v>356</v>
      </c>
      <c r="E13" s="8" t="s">
        <v>358</v>
      </c>
      <c r="F13" s="8" t="s">
        <v>362</v>
      </c>
      <c r="G13" s="9" t="s">
        <v>365</v>
      </c>
      <c r="H13" s="8" t="s">
        <v>369</v>
      </c>
      <c r="I13" s="8" t="s">
        <v>371</v>
      </c>
    </row>
    <row r="14" ht="21.75" customHeight="1">
      <c r="A14" s="7" t="s">
        <v>350</v>
      </c>
      <c r="B14" s="8" t="s">
        <v>186</v>
      </c>
      <c r="C14" s="8" t="s">
        <v>379</v>
      </c>
      <c r="D14" s="9" t="s">
        <v>149</v>
      </c>
      <c r="E14" s="8" t="s">
        <v>382</v>
      </c>
      <c r="F14" s="8" t="s">
        <v>388</v>
      </c>
      <c r="G14" s="9" t="s">
        <v>389</v>
      </c>
      <c r="H14" s="8" t="s">
        <v>390</v>
      </c>
      <c r="I14" s="8" t="s">
        <v>371</v>
      </c>
    </row>
    <row r="15" ht="21.75" customHeight="1">
      <c r="A15" s="7" t="s">
        <v>350</v>
      </c>
      <c r="B15" s="8" t="s">
        <v>219</v>
      </c>
      <c r="C15" s="8" t="s">
        <v>394</v>
      </c>
      <c r="D15" s="9" t="s">
        <v>396</v>
      </c>
      <c r="E15" s="8" t="s">
        <v>398</v>
      </c>
      <c r="F15" s="8" t="s">
        <v>400</v>
      </c>
      <c r="G15" s="9" t="s">
        <v>401</v>
      </c>
      <c r="H15" s="8" t="s">
        <v>403</v>
      </c>
      <c r="I15" s="8" t="s">
        <v>371</v>
      </c>
    </row>
    <row r="16" ht="21.75" customHeight="1">
      <c r="A16" s="7" t="s">
        <v>350</v>
      </c>
      <c r="B16" s="8" t="s">
        <v>247</v>
      </c>
      <c r="C16" s="8" t="s">
        <v>411</v>
      </c>
      <c r="D16" s="9" t="s">
        <v>413</v>
      </c>
      <c r="E16" s="8" t="s">
        <v>414</v>
      </c>
      <c r="F16" s="8" t="s">
        <v>415</v>
      </c>
      <c r="G16" s="9" t="s">
        <v>401</v>
      </c>
      <c r="H16" s="8" t="s">
        <v>418</v>
      </c>
      <c r="I16" s="8" t="s">
        <v>371</v>
      </c>
    </row>
    <row r="17" ht="21.75" customHeight="1">
      <c r="A17" s="7" t="s">
        <v>421</v>
      </c>
      <c r="B17" s="8" t="s">
        <v>137</v>
      </c>
      <c r="C17" s="8" t="s">
        <v>423</v>
      </c>
      <c r="D17" s="9" t="s">
        <v>424</v>
      </c>
      <c r="E17" s="8" t="s">
        <v>425</v>
      </c>
      <c r="F17" s="8" t="s">
        <v>426</v>
      </c>
      <c r="G17" s="9" t="s">
        <v>428</v>
      </c>
      <c r="H17" s="8" t="s">
        <v>430</v>
      </c>
      <c r="I17" s="8" t="s">
        <v>371</v>
      </c>
    </row>
    <row r="18" ht="21.75" customHeight="1">
      <c r="A18" s="7" t="s">
        <v>421</v>
      </c>
      <c r="B18" s="8" t="s">
        <v>186</v>
      </c>
      <c r="C18" s="8" t="s">
        <v>434</v>
      </c>
      <c r="D18" s="9" t="s">
        <v>436</v>
      </c>
      <c r="E18" s="8" t="s">
        <v>358</v>
      </c>
      <c r="F18" s="8" t="s">
        <v>438</v>
      </c>
      <c r="G18" s="9" t="s">
        <v>389</v>
      </c>
      <c r="H18" s="8" t="s">
        <v>441</v>
      </c>
      <c r="I18" s="8" t="s">
        <v>371</v>
      </c>
    </row>
    <row r="19" ht="21.75" customHeight="1">
      <c r="A19" s="7"/>
      <c r="B19" s="8"/>
      <c r="C19" s="8"/>
      <c r="D19" s="9"/>
      <c r="E19" s="8"/>
      <c r="F19" s="8"/>
      <c r="G19" s="9"/>
      <c r="H19" s="8" t="s">
        <v>444</v>
      </c>
      <c r="I19" s="8" t="s">
        <v>371</v>
      </c>
    </row>
    <row r="20" ht="21.75" customHeight="1">
      <c r="A20" s="4" t="s">
        <v>446</v>
      </c>
      <c r="B20" s="8"/>
      <c r="C20" s="8"/>
      <c r="D20" s="9"/>
      <c r="E20" s="8"/>
      <c r="F20" s="8"/>
      <c r="G20" s="9"/>
      <c r="H20" s="8" t="s">
        <v>449</v>
      </c>
      <c r="I20" s="8" t="s">
        <v>371</v>
      </c>
    </row>
    <row r="21" ht="21.75" customHeight="1">
      <c r="A21" s="4" t="s">
        <v>450</v>
      </c>
      <c r="B21" s="8"/>
      <c r="C21" s="5" t="s">
        <v>451</v>
      </c>
      <c r="D21" s="9"/>
      <c r="E21" s="5" t="s">
        <v>452</v>
      </c>
      <c r="F21" s="8"/>
      <c r="G21" s="9"/>
      <c r="H21" s="8" t="s">
        <v>453</v>
      </c>
      <c r="I21" s="8" t="s">
        <v>454</v>
      </c>
    </row>
    <row r="22" ht="21.75" customHeight="1">
      <c r="A22" s="4" t="s">
        <v>455</v>
      </c>
      <c r="B22" s="8"/>
      <c r="C22" s="5" t="s">
        <v>451</v>
      </c>
      <c r="D22" s="9"/>
      <c r="E22" s="5" t="s">
        <v>456</v>
      </c>
      <c r="F22" s="8"/>
      <c r="G22" s="9"/>
      <c r="H22" s="8" t="s">
        <v>457</v>
      </c>
      <c r="I22" s="8" t="s">
        <v>454</v>
      </c>
    </row>
    <row r="23" ht="15.75" customHeight="1">
      <c r="A23" s="10" t="s">
        <v>458</v>
      </c>
      <c r="B23" s="12"/>
      <c r="C23" s="10" t="s">
        <v>451</v>
      </c>
      <c r="D23" s="12"/>
      <c r="E23" s="10" t="s">
        <v>470</v>
      </c>
      <c r="F23" s="12"/>
      <c r="G23" s="12"/>
      <c r="H23" s="12"/>
      <c r="I23" s="12"/>
    </row>
    <row r="24" ht="15.75" customHeight="1">
      <c r="A24" s="10" t="s">
        <v>471</v>
      </c>
      <c r="B24" s="12"/>
      <c r="C24" s="10" t="s">
        <v>451</v>
      </c>
      <c r="D24" s="12"/>
      <c r="E24" s="10" t="s">
        <v>472</v>
      </c>
      <c r="F24" s="12"/>
      <c r="G24" s="12"/>
      <c r="H24" s="12"/>
      <c r="I24" s="12"/>
    </row>
    <row r="25" ht="15.75" customHeight="1">
      <c r="A25" s="10" t="s">
        <v>473</v>
      </c>
      <c r="B25" s="12"/>
      <c r="C25" s="10" t="s">
        <v>451</v>
      </c>
      <c r="D25" s="12"/>
      <c r="E25" s="10" t="s">
        <v>474</v>
      </c>
      <c r="F25" s="12"/>
      <c r="G25" s="12"/>
      <c r="H25" s="12"/>
      <c r="I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5:I25">
    <cfRule type="expression" dxfId="0" priority="1" stopIfTrue="1">
      <formula>ISODD(ROW())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5.0"/>
    <col customWidth="1" min="3" max="3" width="16.0"/>
    <col customWidth="1" min="4" max="4" width="14.0"/>
    <col customWidth="1" min="5" max="6" width="38.0"/>
    <col customWidth="1" min="7" max="7" width="20.0"/>
    <col customWidth="1" min="8" max="8" width="32.0"/>
    <col customWidth="1" min="9" max="26" width="8.71"/>
  </cols>
  <sheetData>
    <row r="1">
      <c r="A1" s="1" t="s">
        <v>2</v>
      </c>
    </row>
    <row r="2">
      <c r="A2" s="2" t="s">
        <v>6</v>
      </c>
    </row>
    <row r="4" ht="27.75" customHeight="1">
      <c r="A4" s="6" t="s">
        <v>10</v>
      </c>
      <c r="B4" s="6" t="s">
        <v>44</v>
      </c>
      <c r="C4" s="6" t="s">
        <v>49</v>
      </c>
      <c r="D4" s="6" t="s">
        <v>55</v>
      </c>
      <c r="E4" s="6" t="s">
        <v>59</v>
      </c>
      <c r="F4" s="6" t="s">
        <v>62</v>
      </c>
      <c r="G4" s="6" t="s">
        <v>67</v>
      </c>
      <c r="H4" s="6" t="s">
        <v>72</v>
      </c>
    </row>
    <row r="5" ht="21.75" customHeight="1">
      <c r="A5" s="7" t="s">
        <v>80</v>
      </c>
      <c r="B5" s="8" t="s">
        <v>113</v>
      </c>
      <c r="C5" s="8" t="s">
        <v>127</v>
      </c>
      <c r="D5" s="8" t="s">
        <v>130</v>
      </c>
      <c r="E5" s="8" t="s">
        <v>133</v>
      </c>
      <c r="F5" s="8" t="s">
        <v>136</v>
      </c>
      <c r="G5" s="4" t="s">
        <v>143</v>
      </c>
      <c r="H5" s="8" t="s">
        <v>147</v>
      </c>
    </row>
    <row r="6" ht="21.75" customHeight="1">
      <c r="A6" s="7" t="s">
        <v>153</v>
      </c>
      <c r="B6" s="8" t="s">
        <v>157</v>
      </c>
      <c r="C6" s="8" t="s">
        <v>127</v>
      </c>
      <c r="D6" s="8" t="s">
        <v>130</v>
      </c>
      <c r="E6" s="8" t="s">
        <v>176</v>
      </c>
      <c r="F6" s="8" t="s">
        <v>182</v>
      </c>
      <c r="G6" s="4" t="s">
        <v>143</v>
      </c>
      <c r="H6" s="8" t="s">
        <v>239</v>
      </c>
    </row>
    <row r="7" ht="21.75" customHeight="1">
      <c r="A7" s="7" t="s">
        <v>257</v>
      </c>
      <c r="B7" s="8" t="s">
        <v>264</v>
      </c>
      <c r="C7" s="8" t="s">
        <v>127</v>
      </c>
      <c r="D7" s="8" t="s">
        <v>130</v>
      </c>
      <c r="E7" s="8" t="s">
        <v>275</v>
      </c>
      <c r="F7" s="8" t="s">
        <v>281</v>
      </c>
      <c r="G7" s="4" t="s">
        <v>143</v>
      </c>
      <c r="H7" s="8" t="s">
        <v>287</v>
      </c>
    </row>
    <row r="8" ht="21.75" customHeight="1">
      <c r="A8" s="7" t="s">
        <v>294</v>
      </c>
      <c r="B8" s="8" t="s">
        <v>298</v>
      </c>
      <c r="C8" s="8" t="s">
        <v>127</v>
      </c>
      <c r="D8" s="8" t="s">
        <v>130</v>
      </c>
      <c r="E8" s="8" t="s">
        <v>306</v>
      </c>
      <c r="F8" s="8" t="s">
        <v>312</v>
      </c>
      <c r="G8" s="4" t="s">
        <v>143</v>
      </c>
      <c r="H8" s="8" t="s">
        <v>321</v>
      </c>
    </row>
    <row r="9" ht="21.75" customHeight="1">
      <c r="A9" s="7" t="s">
        <v>327</v>
      </c>
      <c r="B9" s="8" t="s">
        <v>333</v>
      </c>
      <c r="C9" s="8" t="s">
        <v>127</v>
      </c>
      <c r="D9" s="8" t="s">
        <v>130</v>
      </c>
      <c r="E9" s="8" t="s">
        <v>344</v>
      </c>
      <c r="F9" s="8" t="s">
        <v>348</v>
      </c>
      <c r="G9" s="4" t="s">
        <v>143</v>
      </c>
      <c r="H9" s="8" t="s">
        <v>354</v>
      </c>
    </row>
    <row r="10" ht="21.75" customHeight="1">
      <c r="A10" s="7" t="s">
        <v>359</v>
      </c>
      <c r="B10" s="8" t="s">
        <v>364</v>
      </c>
      <c r="C10" s="8" t="s">
        <v>127</v>
      </c>
      <c r="D10" s="8" t="s">
        <v>370</v>
      </c>
      <c r="E10" s="8" t="s">
        <v>373</v>
      </c>
      <c r="F10" s="5" t="s">
        <v>383</v>
      </c>
      <c r="G10" s="4" t="s">
        <v>143</v>
      </c>
      <c r="H10" s="8" t="s">
        <v>409</v>
      </c>
    </row>
    <row r="11" ht="21.75" customHeight="1">
      <c r="A11" s="7" t="s">
        <v>417</v>
      </c>
      <c r="B11" s="8" t="s">
        <v>420</v>
      </c>
      <c r="C11" s="8" t="s">
        <v>127</v>
      </c>
      <c r="D11" s="8" t="s">
        <v>370</v>
      </c>
      <c r="E11" s="8" t="s">
        <v>427</v>
      </c>
      <c r="F11" s="5" t="s">
        <v>431</v>
      </c>
      <c r="G11" s="4" t="s">
        <v>143</v>
      </c>
      <c r="H11" s="8" t="s">
        <v>432</v>
      </c>
    </row>
    <row r="12" ht="21.75" customHeight="1">
      <c r="A12" s="7" t="s">
        <v>433</v>
      </c>
      <c r="B12" s="8" t="s">
        <v>435</v>
      </c>
      <c r="C12" s="8" t="s">
        <v>437</v>
      </c>
      <c r="D12" s="8" t="s">
        <v>439</v>
      </c>
      <c r="E12" s="8" t="s">
        <v>440</v>
      </c>
      <c r="F12" s="8" t="s">
        <v>442</v>
      </c>
      <c r="G12" s="4" t="s">
        <v>143</v>
      </c>
      <c r="H12" s="8" t="s">
        <v>443</v>
      </c>
    </row>
    <row r="13">
      <c r="A13" s="10" t="s">
        <v>445</v>
      </c>
      <c r="B13" s="10" t="s">
        <v>447</v>
      </c>
      <c r="C13" s="10" t="s">
        <v>448</v>
      </c>
      <c r="D13" s="13">
        <v>46262.0</v>
      </c>
      <c r="E13" s="10" t="s">
        <v>467</v>
      </c>
      <c r="F13" s="10" t="s">
        <v>468</v>
      </c>
      <c r="G13" s="10" t="s">
        <v>143</v>
      </c>
      <c r="H13" s="10" t="s">
        <v>469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5:H13">
    <cfRule type="expression" dxfId="0" priority="1" stopIfTrue="1">
      <formula>ISODD(ROW())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28.0"/>
    <col customWidth="1" min="4" max="4" width="48.0"/>
    <col customWidth="1" min="5" max="6" width="16.0"/>
    <col customWidth="1" min="7" max="7" width="18.0"/>
    <col customWidth="1" min="8" max="26" width="8.71"/>
  </cols>
  <sheetData>
    <row r="1">
      <c r="A1" s="1" t="s">
        <v>479</v>
      </c>
    </row>
    <row r="2">
      <c r="A2" s="2" t="s">
        <v>480</v>
      </c>
    </row>
    <row r="4" ht="27.75" customHeight="1">
      <c r="A4" s="6" t="s">
        <v>481</v>
      </c>
      <c r="B4" s="6" t="s">
        <v>482</v>
      </c>
      <c r="C4" s="6" t="s">
        <v>483</v>
      </c>
      <c r="D4" s="6" t="s">
        <v>484</v>
      </c>
      <c r="E4" s="6" t="s">
        <v>485</v>
      </c>
      <c r="F4" s="6" t="s">
        <v>486</v>
      </c>
      <c r="G4" s="6" t="s">
        <v>487</v>
      </c>
    </row>
    <row r="5" ht="21.75" customHeight="1">
      <c r="A5" s="7" t="s">
        <v>488</v>
      </c>
      <c r="B5" s="8" t="s">
        <v>92</v>
      </c>
      <c r="C5" s="8" t="s">
        <v>489</v>
      </c>
      <c r="D5" s="8" t="s">
        <v>490</v>
      </c>
      <c r="E5" s="7" t="s">
        <v>491</v>
      </c>
      <c r="F5" s="7" t="s">
        <v>492</v>
      </c>
      <c r="G5" s="8" t="s">
        <v>156</v>
      </c>
    </row>
    <row r="6" ht="21.75" customHeight="1">
      <c r="A6" s="7" t="s">
        <v>488</v>
      </c>
      <c r="B6" s="8" t="s">
        <v>92</v>
      </c>
      <c r="C6" s="8" t="s">
        <v>493</v>
      </c>
      <c r="D6" s="8" t="s">
        <v>494</v>
      </c>
      <c r="E6" s="7" t="s">
        <v>491</v>
      </c>
      <c r="F6" s="7" t="s">
        <v>492</v>
      </c>
      <c r="G6" s="8" t="s">
        <v>156</v>
      </c>
    </row>
    <row r="7" ht="21.75" customHeight="1">
      <c r="A7" s="7" t="s">
        <v>495</v>
      </c>
      <c r="B7" s="8" t="s">
        <v>496</v>
      </c>
      <c r="C7" s="8" t="s">
        <v>497</v>
      </c>
      <c r="D7" s="8" t="s">
        <v>498</v>
      </c>
      <c r="E7" s="7" t="s">
        <v>491</v>
      </c>
      <c r="F7" s="7" t="s">
        <v>492</v>
      </c>
      <c r="G7" s="8" t="s">
        <v>156</v>
      </c>
    </row>
    <row r="8" ht="21.75" customHeight="1">
      <c r="A8" s="7" t="s">
        <v>495</v>
      </c>
      <c r="B8" s="8" t="s">
        <v>496</v>
      </c>
      <c r="C8" s="8" t="s">
        <v>499</v>
      </c>
      <c r="D8" s="8" t="s">
        <v>500</v>
      </c>
      <c r="E8" s="7" t="s">
        <v>491</v>
      </c>
      <c r="F8" s="7" t="s">
        <v>492</v>
      </c>
      <c r="G8" s="8" t="s">
        <v>156</v>
      </c>
    </row>
    <row r="9" ht="21.75" customHeight="1">
      <c r="A9" s="7" t="s">
        <v>501</v>
      </c>
      <c r="B9" s="8" t="s">
        <v>502</v>
      </c>
      <c r="C9" s="8" t="s">
        <v>503</v>
      </c>
      <c r="D9" s="8" t="s">
        <v>504</v>
      </c>
      <c r="E9" s="7" t="s">
        <v>491</v>
      </c>
      <c r="F9" s="7" t="s">
        <v>492</v>
      </c>
      <c r="G9" s="8" t="s">
        <v>156</v>
      </c>
    </row>
    <row r="10" ht="21.75" customHeight="1">
      <c r="A10" s="7" t="s">
        <v>501</v>
      </c>
      <c r="B10" s="8" t="s">
        <v>502</v>
      </c>
      <c r="C10" s="8" t="s">
        <v>505</v>
      </c>
      <c r="D10" s="8" t="s">
        <v>506</v>
      </c>
      <c r="E10" s="7" t="s">
        <v>491</v>
      </c>
      <c r="F10" s="7" t="s">
        <v>492</v>
      </c>
      <c r="G10" s="8" t="s">
        <v>156</v>
      </c>
    </row>
    <row r="11" ht="21.75" customHeight="1">
      <c r="A11" s="7" t="s">
        <v>507</v>
      </c>
      <c r="B11" s="8" t="s">
        <v>508</v>
      </c>
      <c r="C11" s="8" t="s">
        <v>509</v>
      </c>
      <c r="D11" s="8" t="s">
        <v>510</v>
      </c>
      <c r="E11" s="7" t="s">
        <v>511</v>
      </c>
      <c r="F11" s="7" t="s">
        <v>492</v>
      </c>
      <c r="G11" s="8" t="s">
        <v>512</v>
      </c>
    </row>
    <row r="12" ht="21.75" customHeight="1">
      <c r="A12" s="7" t="s">
        <v>507</v>
      </c>
      <c r="B12" s="8" t="s">
        <v>508</v>
      </c>
      <c r="C12" s="8" t="s">
        <v>513</v>
      </c>
      <c r="D12" s="8" t="s">
        <v>514</v>
      </c>
      <c r="E12" s="7" t="s">
        <v>511</v>
      </c>
      <c r="F12" s="7" t="s">
        <v>492</v>
      </c>
      <c r="G12" s="8" t="s">
        <v>156</v>
      </c>
    </row>
    <row r="13" ht="21.75" customHeight="1">
      <c r="A13" s="7" t="s">
        <v>507</v>
      </c>
      <c r="B13" s="8" t="s">
        <v>508</v>
      </c>
      <c r="C13" s="8" t="s">
        <v>515</v>
      </c>
      <c r="D13" s="8" t="s">
        <v>516</v>
      </c>
      <c r="E13" s="7" t="s">
        <v>511</v>
      </c>
      <c r="F13" s="7" t="s">
        <v>492</v>
      </c>
      <c r="G13" s="8" t="s">
        <v>156</v>
      </c>
    </row>
    <row r="14" ht="21.75" customHeight="1">
      <c r="A14" s="7" t="s">
        <v>507</v>
      </c>
      <c r="B14" s="8" t="s">
        <v>508</v>
      </c>
      <c r="C14" s="8" t="s">
        <v>517</v>
      </c>
      <c r="D14" s="8" t="s">
        <v>518</v>
      </c>
      <c r="E14" s="7" t="s">
        <v>519</v>
      </c>
      <c r="F14" s="7" t="s">
        <v>520</v>
      </c>
      <c r="G14" s="8" t="s">
        <v>156</v>
      </c>
    </row>
    <row r="15" ht="21.75" customHeight="1">
      <c r="A15" s="7" t="s">
        <v>507</v>
      </c>
      <c r="B15" s="8" t="s">
        <v>508</v>
      </c>
      <c r="C15" s="8" t="s">
        <v>521</v>
      </c>
      <c r="D15" s="8" t="s">
        <v>522</v>
      </c>
      <c r="E15" s="7" t="s">
        <v>519</v>
      </c>
      <c r="F15" s="7" t="s">
        <v>520</v>
      </c>
      <c r="G15" s="8" t="s">
        <v>156</v>
      </c>
    </row>
    <row r="16" ht="21.75" customHeight="1">
      <c r="A16" s="7" t="s">
        <v>507</v>
      </c>
      <c r="B16" s="8" t="s">
        <v>508</v>
      </c>
      <c r="C16" s="8" t="s">
        <v>523</v>
      </c>
      <c r="D16" s="8" t="s">
        <v>524</v>
      </c>
      <c r="E16" s="7" t="s">
        <v>525</v>
      </c>
      <c r="F16" s="7" t="s">
        <v>520</v>
      </c>
      <c r="G16" s="8" t="s">
        <v>243</v>
      </c>
    </row>
    <row r="17" ht="21.75" customHeight="1">
      <c r="A17" s="7" t="s">
        <v>526</v>
      </c>
      <c r="B17" s="8" t="s">
        <v>527</v>
      </c>
      <c r="C17" s="8" t="s">
        <v>528</v>
      </c>
      <c r="D17" s="8" t="s">
        <v>529</v>
      </c>
      <c r="E17" s="4" t="s">
        <v>530</v>
      </c>
      <c r="F17" s="4" t="s">
        <v>492</v>
      </c>
      <c r="G17" s="5" t="s">
        <v>531</v>
      </c>
    </row>
    <row r="18" ht="21.75" customHeight="1">
      <c r="A18" s="7" t="s">
        <v>526</v>
      </c>
      <c r="B18" s="8" t="s">
        <v>527</v>
      </c>
      <c r="C18" s="8" t="s">
        <v>532</v>
      </c>
      <c r="D18" s="8" t="s">
        <v>533</v>
      </c>
      <c r="E18" s="7" t="s">
        <v>511</v>
      </c>
      <c r="F18" s="7" t="s">
        <v>492</v>
      </c>
      <c r="G18" s="8" t="s">
        <v>534</v>
      </c>
    </row>
    <row r="19" ht="21.75" customHeight="1">
      <c r="A19" s="7" t="s">
        <v>526</v>
      </c>
      <c r="B19" s="8" t="s">
        <v>527</v>
      </c>
      <c r="C19" s="8" t="s">
        <v>535</v>
      </c>
      <c r="D19" s="8" t="s">
        <v>536</v>
      </c>
      <c r="E19" s="7" t="s">
        <v>511</v>
      </c>
      <c r="F19" s="7" t="s">
        <v>492</v>
      </c>
      <c r="G19" s="8" t="s">
        <v>537</v>
      </c>
    </row>
    <row r="20">
      <c r="A20" s="10" t="s">
        <v>526</v>
      </c>
      <c r="B20" s="10" t="s">
        <v>527</v>
      </c>
      <c r="C20" s="10" t="s">
        <v>538</v>
      </c>
      <c r="D20" s="10" t="s">
        <v>539</v>
      </c>
      <c r="E20" s="10" t="s">
        <v>519</v>
      </c>
      <c r="F20" s="10" t="s">
        <v>520</v>
      </c>
      <c r="G20" s="10" t="s">
        <v>448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5:G20">
    <cfRule type="expression" dxfId="0" priority="1" stopIfTrue="1">
      <formula>ISODD(ROW())</formula>
    </cfRule>
  </conditionalFormatting>
  <printOptions/>
  <pageMargins bottom="1.0" footer="0.0" header="0.0" left="0.75" right="0.75" top="1.0"/>
  <pageSetup orientation="landscape"/>
  <drawing r:id="rId1"/>
</worksheet>
</file>